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nnual P&amp;L" sheetId="2" state="visible" r:id="rId4"/>
    <sheet name="Monthly Detail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<sst xmlns="http://schemas.openxmlformats.org/spreadsheetml/2006/main" count="434" uniqueCount="402">
  <si>
    <t xml:space="preserve">HomeGuarantee — Model Assumptions</t>
  </si>
  <si>
    <t xml:space="preserve">Color key:</t>
  </si>
  <si>
    <t xml:space="preserve">■ Blue = input</t>
  </si>
  <si>
    <t xml:space="preserve">■ Black = formula/derived</t>
  </si>
  <si>
    <t xml:space="preserve">REVENUE — Platform Fees</t>
  </si>
  <si>
    <t xml:space="preserve">Basic platform fee (per unit / month)</t>
  </si>
  <si>
    <t xml:space="preserve">Source: PRD §6; competitive positioning vs. OR HCLGP ($0) and WA LMP ($0)</t>
  </si>
  <si>
    <t xml:space="preserve">Managed tier fee (per unit / month)</t>
  </si>
  <si>
    <t xml:space="preserve">Source: PRD §6 — Managed tier; covers full-service ops including Works labor</t>
  </si>
  <si>
    <t xml:space="preserve">Housing Authority platform fee (per unit/mo)</t>
  </si>
  <si>
    <t xml:space="preserve">Source: PRD §8, GTM plan Phase 2; discovery call confirmed range $75–100</t>
  </si>
  <si>
    <t xml:space="preserve">Founding-cohort fee waiver period (months)</t>
  </si>
  <si>
    <t xml:space="preserve">Source: GTM plan — incentive for first 50 landlords; waiver months 1–3</t>
  </si>
  <si>
    <t xml:space="preserve">CLAIMS &amp; GUARANTEE FUND</t>
  </si>
  <si>
    <t xml:space="preserve">Annual claims rate (% of units filing a claim)</t>
  </si>
  <si>
    <t xml:space="preserve">Source: PRD kill-switch K2; Oregon OHCS benchmark; conservative vs. HUD 10% guidance</t>
  </si>
  <si>
    <t xml:space="preserve">Average claim size ($)</t>
  </si>
  <si>
    <t xml:space="preserve">Source: Estimate; OR avg ~$3K–4K; ceiling $20K; $6K assumes mid-severity mix</t>
  </si>
  <si>
    <t xml:space="preserve">Monthly claims rate (= annual / 12)</t>
  </si>
  <si>
    <t xml:space="preserve">Derived</t>
  </si>
  <si>
    <t xml:space="preserve">Guarantee fund — initial capitalization ($)</t>
  </si>
  <si>
    <t xml:space="preserve">Source: PRD §10 financial model; philanthropic raise target</t>
  </si>
  <si>
    <t xml:space="preserve">Operating bridge — initial ($)</t>
  </si>
  <si>
    <t xml:space="preserve">Source: PRD §10; covers 18–24 months operating burn at $27K/mo</t>
  </si>
  <si>
    <t xml:space="preserve">Maximum guarantee per tenancy ($)</t>
  </si>
  <si>
    <t xml:space="preserve">Source: PRD §5 core product; 4× Oregon HCLGP ceiling</t>
  </si>
  <si>
    <t xml:space="preserve">UNIT ECONOMICS — RETENTION &amp; ACQUISITION</t>
  </si>
  <si>
    <t xml:space="preserve">Annual landlord churn rate</t>
  </si>
  <si>
    <t xml:space="preserve">Source: PRD; target 85%+ 12-month retention; 15% churn assumed conservative</t>
  </si>
  <si>
    <t xml:space="preserve">Monthly landlord churn rate</t>
  </si>
  <si>
    <t xml:space="preserve">Derived from annual</t>
  </si>
  <si>
    <t xml:space="preserve">Average landlord CAC — Phase 1 ($)</t>
  </si>
  <si>
    <t xml:space="preserve">Source: GTM plan; includes Liaison time + HAA + mail; target &lt;$500/unit</t>
  </si>
  <si>
    <t xml:space="preserve">Average landlord CAC — Phase 2+ ($)</t>
  </si>
  <si>
    <t xml:space="preserve">Estimate; referral flywheel reduces marginal CAC</t>
  </si>
  <si>
    <t xml:space="preserve">Average tenancy duration (months)</t>
  </si>
  <si>
    <t xml:space="preserve">Source: PRD §6; CFTH exit data suggests 24+ month average</t>
  </si>
  <si>
    <t xml:space="preserve">Managed tier — direct cost ratio</t>
  </si>
  <si>
    <t xml:space="preserve">Works labor + maintenance overhead = 50% of managed fee; $100/unit margin kept</t>
  </si>
  <si>
    <t xml:space="preserve">UNIT COUNT TARGETS (end of period)</t>
  </si>
  <si>
    <t xml:space="preserve">Period</t>
  </si>
  <si>
    <t xml:space="preserve">End-of-Period Units</t>
  </si>
  <si>
    <t xml:space="preserve">Notes</t>
  </si>
  <si>
    <t xml:space="preserve">Pre-Launch (H2 2026)</t>
  </si>
  <si>
    <t xml:space="preserve">Basic: 0  |  Managed: 0  |  HA: 0</t>
  </si>
  <si>
    <t xml:space="preserve">Platform build; no landlords enrolled</t>
  </si>
  <si>
    <t xml:space="preserve">Year 1 — 2027</t>
  </si>
  <si>
    <t xml:space="preserve">Basic: 500  |  Managed: 0  |  HA: 0</t>
  </si>
  <si>
    <t xml:space="preserve">Houston beachhead; fee waiver M1–3; HHA data meeting M12</t>
  </si>
  <si>
    <t xml:space="preserve">Year 2 — 2028</t>
  </si>
  <si>
    <t xml:space="preserve">Basic: 2,000  |  Managed: 200  |  HA: 500</t>
  </si>
  <si>
    <t xml:space="preserve">DFW entry M18; HHA platform fee M15; Managed launch M18</t>
  </si>
  <si>
    <t xml:space="preserve">Year 3 — 2029</t>
  </si>
  <si>
    <t xml:space="preserve">Basic: 4,000  |  Managed: 800  |  HA: 2,000</t>
  </si>
  <si>
    <t xml:space="preserve">3 cities (Houston, DFW, Phoenix); insurance reinsurance term sheet</t>
  </si>
  <si>
    <t xml:space="preserve">Year 4 — 2030</t>
  </si>
  <si>
    <t xml:space="preserve">Basic: 7,000  |  Managed: 2,000  |  HA: 4,000</t>
  </si>
  <si>
    <t xml:space="preserve">5 cities; reinsurance signed; USICH case study</t>
  </si>
  <si>
    <t xml:space="preserve">Year 5 — 2031</t>
  </si>
  <si>
    <t xml:space="preserve">Basic: 10,000  |  Managed: 4,000  |  HA: 7,000</t>
  </si>
  <si>
    <t xml:space="preserve">6+ cities; full national platform; ~$22M ARR</t>
  </si>
  <si>
    <t xml:space="preserve">HEADCOUNT &amp; OPERATING COSTS</t>
  </si>
  <si>
    <t xml:space="preserve">Pre-Launch headcount (FTE)</t>
  </si>
  <si>
    <t xml:space="preserve">2 founders; minimal salary draw during fundraise</t>
  </si>
  <si>
    <t xml:space="preserve">Year 1 avg headcount (FTE)</t>
  </si>
  <si>
    <t xml:space="preserve">2 founders + Landlord Liaison (M2) + ops PT = $324K total burn ($27K/mo)</t>
  </si>
  <si>
    <t xml:space="preserve">Year 2 avg headcount (FTE)</t>
  </si>
  <si>
    <t xml:space="preserve">+ 2 Liaisons, 1 engineer, 1 partnerships, 1 success</t>
  </si>
  <si>
    <t xml:space="preserve">Year 3 avg headcount (FTE)</t>
  </si>
  <si>
    <t xml:space="preserve">+ city directors for DFW + Phoenix, 2 more engineers</t>
  </si>
  <si>
    <t xml:space="preserve">Year 4 avg headcount (FTE)</t>
  </si>
  <si>
    <t xml:space="preserve">+ 2 more city teams; finance, legal, HR</t>
  </si>
  <si>
    <t xml:space="preserve">Year 5 avg headcount (FTE)</t>
  </si>
  <si>
    <t xml:space="preserve">6+ city teams; full G&amp;A build-out</t>
  </si>
  <si>
    <t xml:space="preserve">Avg fully-loaded cost per FTE ($)</t>
  </si>
  <si>
    <t xml:space="preserve">Salary ~$90K + 25% benefits/overhead; varies by role</t>
  </si>
  <si>
    <t xml:space="preserve">KILL SWITCHES (must resolve before launch)</t>
  </si>
  <si>
    <t xml:space="preserve">K1: TX insurance licensing</t>
  </si>
  <si>
    <t xml:space="preserve">Unresolved</t>
  </si>
  <si>
    <t xml:space="preserve">~$500 legal call; blocks all landlord outreach and marketing</t>
  </si>
  <si>
    <t xml:space="preserve">K2: Guarantee fund tail risk</t>
  </si>
  <si>
    <t xml:space="preserve">Oregon OHCS data request (free); validates 12% claims assumption</t>
  </si>
  <si>
    <t xml:space="preserve">K3: HOA legal enforceability</t>
  </si>
  <si>
    <t xml:space="preserve">Bundle with K1 legal call; validates Managed tier CC&amp;R strategy</t>
  </si>
  <si>
    <t xml:space="preserve">K4: Enrollment duration data</t>
  </si>
  <si>
    <t xml:space="preserve">CFTH data request (free); validates 24-month avg tenancy input</t>
  </si>
  <si>
    <t xml:space="preserve">K5: Founding team credentials</t>
  </si>
  <si>
    <t xml:space="preserve">2 sentences; required before any external sharing of this document</t>
  </si>
  <si>
    <t xml:space="preserve">HomeGuarantee — 5-Year Financial Projection</t>
  </si>
  <si>
    <t xml:space="preserve">All figures in USD. Blue = input. Black = formula. Assumptions on "Assumptions" tab.</t>
  </si>
  <si>
    <t xml:space="preserve">Line Item</t>
  </si>
  <si>
    <t xml:space="preserve">Pre-Launch
(H2 2026)</t>
  </si>
  <si>
    <t xml:space="preserve">Year 1
2027</t>
  </si>
  <si>
    <t xml:space="preserve">Year 2
2028</t>
  </si>
  <si>
    <t xml:space="preserve">Year 3
2029</t>
  </si>
  <si>
    <t xml:space="preserve">Year 4
2030</t>
  </si>
  <si>
    <t xml:space="preserve">Year 5
2031</t>
  </si>
  <si>
    <t xml:space="preserve">5-Year Total
Y1–Y5</t>
  </si>
  <si>
    <t xml:space="preserve">UNITS — END OF PERIOD</t>
  </si>
  <si>
    <t xml:space="preserve">Basic enrolled units</t>
  </si>
  <si>
    <t xml:space="preserve">Managed enrolled units</t>
  </si>
  <si>
    <t xml:space="preserve">Managed tier launch M18</t>
  </si>
  <si>
    <t xml:space="preserve">HA-covered units</t>
  </si>
  <si>
    <t xml:space="preserve">Housing Authority platform fee; starts M15</t>
  </si>
  <si>
    <t xml:space="preserve">Total units (basic + managed)</t>
  </si>
  <si>
    <t xml:space="preserve">REVENUE ($)</t>
  </si>
  <si>
    <t xml:space="preserve">Basic platform fees</t>
  </si>
  <si>
    <t xml:space="preserve">Managed tier fees</t>
  </si>
  <si>
    <t xml:space="preserve">Housing Authority platform fees</t>
  </si>
  <si>
    <t xml:space="preserve">Total Revenue</t>
  </si>
  <si>
    <t xml:space="preserve">COST OF REVENUE ($)</t>
  </si>
  <si>
    <t xml:space="preserve">Claims paid</t>
  </si>
  <si>
    <t xml:space="preserve">Managed tier — direct costs</t>
  </si>
  <si>
    <t xml:space="preserve">Total COGS</t>
  </si>
  <si>
    <t xml:space="preserve">Gross Profit</t>
  </si>
  <si>
    <t xml:space="preserve">Gross Margin %</t>
  </si>
  <si>
    <t xml:space="preserve">—</t>
  </si>
  <si>
    <t xml:space="preserve">OPERATING EXPENSES ($)</t>
  </si>
  <si>
    <t xml:space="preserve">Salaries &amp; Benefits</t>
  </si>
  <si>
    <t xml:space="preserve">GTM &amp; Customer Acquisition</t>
  </si>
  <si>
    <t xml:space="preserve">Technology &amp; Platform</t>
  </si>
  <si>
    <t xml:space="preserve">G&amp;A (Legal, Compliance, Accounting)</t>
  </si>
  <si>
    <t xml:space="preserve">Total Operating Expenses</t>
  </si>
  <si>
    <t xml:space="preserve">EBITDA</t>
  </si>
  <si>
    <t xml:space="preserve">EBITDA Margin %</t>
  </si>
  <si>
    <t xml:space="preserve">n/m</t>
  </si>
  <si>
    <t xml:space="preserve">GUARANTEE FUND — BALANCE ($)</t>
  </si>
  <si>
    <t xml:space="preserve">* Y4+ assumes reinsurance covers portion of claims</t>
  </si>
  <si>
    <t xml:space="preserve">Opening balance</t>
  </si>
  <si>
    <t xml:space="preserve">Claims drawn</t>
  </si>
  <si>
    <t xml:space="preserve">Closing balance</t>
  </si>
  <si>
    <t xml:space="preserve">Fund target: $2M → $0+ (insurance replaces in Y4)</t>
  </si>
  <si>
    <t xml:space="preserve">CAPITAL RAISED &amp; KEY MILESTONES</t>
  </si>
  <si>
    <t xml:space="preserve">Total capital raised ($2.75M philanthropic)</t>
  </si>
  <si>
    <t xml:space="preserve">Cumulative EBITDA (from Year 1)</t>
  </si>
  <si>
    <t xml:space="preserve">Key Milestones</t>
  </si>
  <si>
    <t xml:space="preserve">Timing</t>
  </si>
  <si>
    <t xml:space="preserve">Trigger / Dependency</t>
  </si>
  <si>
    <t xml:space="preserve">K1–K5 kill switches resolved</t>
  </si>
  <si>
    <t xml:space="preserve">Pre-launch</t>
  </si>
  <si>
    <t xml:space="preserve">Legal call + CFTH/OHCS data requests; ~$500 + 1 week</t>
  </si>
  <si>
    <t xml:space="preserve">First landlord enrolled</t>
  </si>
  <si>
    <t xml:space="preserve">Month 1</t>
  </si>
  <si>
    <t xml:space="preserve">CFTH partnership signed; Liaison hired</t>
  </si>
  <si>
    <t xml:space="preserve">First claim paid</t>
  </si>
  <si>
    <t xml:space="preserve">Month 3–4</t>
  </si>
  <si>
    <t xml:space="preserve">Validates $6K avg claim assumption; becomes marketing asset</t>
  </si>
  <si>
    <t xml:space="preserve">Fee waiver ends (founding cohort)</t>
  </si>
  <si>
    <t xml:space="preserve">Month 4</t>
  </si>
  <si>
    <t xml:space="preserve">Revenue clock starts; $87.50/unit/mo</t>
  </si>
  <si>
    <t xml:space="preserve">HAA speaking slot secured</t>
  </si>
  <si>
    <t xml:space="preserve">Month 2</t>
  </si>
  <si>
    <t xml:space="preserve">P0 GTM channel; 200–400 landlord audience</t>
  </si>
  <si>
    <t xml:space="preserve">CFTH warm-intro list received</t>
  </si>
  <si>
    <t xml:space="preserve">Lapsed landlord outreach begins</t>
  </si>
  <si>
    <t xml:space="preserve">500 units enrolled</t>
  </si>
  <si>
    <t xml:space="preserve">Month 12</t>
  </si>
  <si>
    <t xml:space="preserve">Phase 1 goal; HHA data meeting triggered</t>
  </si>
  <si>
    <t xml:space="preserve">HHA platform fee begins</t>
  </si>
  <si>
    <t xml:space="preserve">Month 15</t>
  </si>
  <si>
    <t xml:space="preserve">Procurement; $87.50/unit/mo to HomeGuarantee</t>
  </si>
  <si>
    <t xml:space="preserve">Managed tier launch</t>
  </si>
  <si>
    <t xml:space="preserve">Month 18</t>
  </si>
  <si>
    <t xml:space="preserve">50 units; Works employees begin; operational cash-flow +</t>
  </si>
  <si>
    <t xml:space="preserve">Cash-flow positive (EBITDA &gt; 0)</t>
  </si>
  <si>
    <t xml:space="preserve">Month 17–19</t>
  </si>
  <si>
    <t xml:space="preserve">Revenue run-rate exceeds operating burn</t>
  </si>
  <si>
    <t xml:space="preserve">DFW market launch</t>
  </si>
  <si>
    <t xml:space="preserve">Month 18–20</t>
  </si>
  <si>
    <t xml:space="preserve">Metro Dallas CoC equivalent; ≥500 Houston units required first</t>
  </si>
  <si>
    <t xml:space="preserve">2,000 units; 3 cities</t>
  </si>
  <si>
    <t xml:space="preserve">Year 3</t>
  </si>
  <si>
    <t xml:space="preserve">Phoenix/Chicago as 3rd city; insurance reinsurance term sheet</t>
  </si>
  <si>
    <t xml:space="preserve">HUD MTW eval report published</t>
  </si>
  <si>
    <t xml:space="preserve">Est. 2026</t>
  </si>
  <si>
    <t xml:space="preserve">Strategic risk: become the implementation vehicle, not a target</t>
  </si>
  <si>
    <t xml:space="preserve">Insurance reinsurance signed</t>
  </si>
  <si>
    <t xml:space="preserve">Year 4</t>
  </si>
  <si>
    <t xml:space="preserve">Reduces fund capital requirement; national press event</t>
  </si>
  <si>
    <t xml:space="preserve">USICH case study placement</t>
  </si>
  <si>
    <t xml:space="preserve">National CoC distribution; organic city expansion demand</t>
  </si>
  <si>
    <t xml:space="preserve">6+ cities; $22M ARR run-rate</t>
  </si>
  <si>
    <t xml:space="preserve">Year 5</t>
  </si>
  <si>
    <t xml:space="preserve">Platform-led growth; Works contributing &gt;$1M revenue</t>
  </si>
  <si>
    <t xml:space="preserve">HomeGuarantee — Monthly Detail (M1–M24)</t>
  </si>
  <si>
    <t xml:space="preserve">Period: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</si>
  <si>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</si>
  <si>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</si>
  <si>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</si>
  <si>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</si>
  <si>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</si>
  <si>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</si>
  <si>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</si>
  <si>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</si>
  <si>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</si>
  <si>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</si>
  <si>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</si>
  <si>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</si>
  <si>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</si>
  <si>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</si>
  <si>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</si>
  <si>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</si>
  <si>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</si>
  <si>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</si>
  <si>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</si>
  <si>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</si>
  <si>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</si>
  <si>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</si>
  <si>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</si>
  <si>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</si>
  <si>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</si>
  <si>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</si>
  <si>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</si>
  <si>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</si>
  <si>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</si>
  <si>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</si>
  <si>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</si>
  <si>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</si>
  <si>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</si>
  <si>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</si>
  <si>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</si>
  <si>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</si>
  <si>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</si>
  <si>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</si>
  <si>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</si>
  <si>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</si>
  <si>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</si>
  <si>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</si>
  <si>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</si>
  <si>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</si>
  <si>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</si>
  <si>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</si>
  <si>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</si>
  <si>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</si>
  <si>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UNITS (end of month)</t>
  </si>
  <si>
    <t xml:space="preserve">New basic enrollments</t>
  </si>
  <si>
    <t xml:space="preserve">Basic units (cumulative)</t>
  </si>
  <si>
    <t xml:space="preserve">Managed units (cumul.)</t>
  </si>
  <si>
    <t xml:space="preserve">HA-covered units (cumul.)</t>
  </si>
  <si>
    <t xml:space="preserve">REVENUE</t>
  </si>
  <si>
    <t xml:space="preserve">HA platform fees</t>
  </si>
  <si>
    <t xml:space="preserve">COST OF REVENUE</t>
  </si>
  <si>
    <t xml:space="preserve">Managed direct costs</t>
  </si>
  <si>
    <t xml:space="preserve">OPERATING EXPENSES</t>
  </si>
  <si>
    <t xml:space="preserve">Total OpEx (salaries+GTM+tech+G&amp;A)</t>
  </si>
  <si>
    <t xml:space="preserve">CASH &amp; GUARANTEE FUND</t>
  </si>
  <si>
    <t xml:space="preserve">Operating cash balance (incl. $750K bridge)</t>
  </si>
  <si>
    <t xml:space="preserve">Guarantee fund balance</t>
  </si>
  <si>
    <t xml:space="preserve">▲ Key events:</t>
  </si>
  <si>
    <t xml:space="preserve">CFTH partner
signed</t>
  </si>
  <si>
    <t xml:space="preserve">Fee waiver
ends</t>
  </si>
  <si>
    <t xml:space="preserve">HAA speaking
+ referral</t>
  </si>
  <si>
    <t xml:space="preserve">HHA data
meeting</t>
  </si>
  <si>
    <t xml:space="preserve">HHA fee
begins</t>
  </si>
  <si>
    <t xml:space="preserve">Cash-flow
positive</t>
  </si>
  <si>
    <t xml:space="preserve">Managed
launches</t>
  </si>
  <si>
    <t xml:space="preserve">DFW
launches</t>
  </si>
  <si>
    <t xml:space="preserve">HomeGuarantee — Unit Economics &amp; Break-Even Analysis</t>
  </si>
  <si>
    <t xml:space="preserve">Per-unit economics for the basic tier landlord product (excluding Managed and HA fee stacks).</t>
  </si>
  <si>
    <t xml:space="preserve">Metric</t>
  </si>
  <si>
    <t xml:space="preserve">Value</t>
  </si>
  <si>
    <t xml:space="preserve">Formula / Assumption</t>
  </si>
  <si>
    <t xml:space="preserve">REVENUE PER UNIT (Basic Tier)</t>
  </si>
  <si>
    <t xml:space="preserve">Monthly fee per unit</t>
  </si>
  <si>
    <t xml:space="preserve">$87.50</t>
  </si>
  <si>
    <t xml:space="preserve">Input</t>
  </si>
  <si>
    <t xml:space="preserve">Landlord pays monthly; covers guarantee access + admin support</t>
  </si>
  <si>
    <t xml:space="preserve">Annual fee per unit</t>
  </si>
  <si>
    <t xml:space="preserve">$1,050</t>
  </si>
  <si>
    <t xml:space="preserve">  =$87.50 × 12</t>
  </si>
  <si>
    <t xml:space="preserve">Full-year fee, no churn</t>
  </si>
  <si>
    <t xml:space="preserve">Expected tenure (months)</t>
  </si>
  <si>
    <t xml:space="preserve">24</t>
  </si>
  <si>
    <t xml:space="preserve">Input — CFTH exit data TBC</t>
  </si>
  <si>
    <t xml:space="preserve">Target via homeGuarantee Works support; 85%+ 12-mo retention</t>
  </si>
  <si>
    <t xml:space="preserve">LTV — basic fee revenue per unit</t>
  </si>
  <si>
    <t xml:space="preserve">$2,100</t>
  </si>
  <si>
    <t xml:space="preserve">  =$87.50 × 24</t>
  </si>
  <si>
    <t xml:space="preserve">Gross LTV before costs; assumes 24-month avg tenure</t>
  </si>
  <si>
    <t xml:space="preserve">COST PER UNIT (Basic Tier)</t>
  </si>
  <si>
    <t xml:space="preserve">CAC — Phase 1</t>
  </si>
  <si>
    <t xml:space="preserve">$500</t>
  </si>
  <si>
    <t xml:space="preserve">Input (Liaison time + HAA + mail + events ÷ enrolled)</t>
  </si>
  <si>
    <t xml:space="preserve">Target &lt;$500; referral flywheel reduces to ~$350 by Phase 2</t>
  </si>
  <si>
    <t xml:space="preserve">CAC — Phase 2+ (referral-driven)</t>
  </si>
  <si>
    <t xml:space="preserve">$350</t>
  </si>
  <si>
    <t xml:space="preserve">Input — estimate</t>
  </si>
  <si>
    <t xml:space="preserve">Peer referral at $250 credit + ops time</t>
  </si>
  <si>
    <t xml:space="preserve">Avg annual claims cost per unit</t>
  </si>
  <si>
    <t xml:space="preserve">$720</t>
  </si>
  <si>
    <t xml:space="preserve">  =12% × $6,000</t>
  </si>
  <si>
    <t xml:space="preserve">Claims rate × avg claim size; 12% of enrolled units file annually</t>
  </si>
  <si>
    <t xml:space="preserve">Avg monthly claims cost per unit</t>
  </si>
  <si>
    <t xml:space="preserve">$60</t>
  </si>
  <si>
    <t xml:space="preserve">  =$720 ÷ 12</t>
  </si>
  <si>
    <t xml:space="preserve">Monthly claims reserve per unit</t>
  </si>
  <si>
    <t xml:space="preserve">Guarantee fund reserve per unit</t>
  </si>
  <si>
    <t xml:space="preserve">$6,000</t>
  </si>
  <si>
    <t xml:space="preserve">Input — max claim ceiling</t>
  </si>
  <si>
    <t xml:space="preserve">Maximum exposure per tenancy; guarantee fund sized to cover tail risk</t>
  </si>
  <si>
    <t xml:space="preserve">NET UNIT ECONOMICS — BASIC TIER</t>
  </si>
  <si>
    <t xml:space="preserve">LTV (gross revenue)</t>
  </si>
  <si>
    <t xml:space="preserve">  =$87.50 × 24 months</t>
  </si>
  <si>
    <t xml:space="preserve">Lifecycle claims cost</t>
  </si>
  <si>
    <t xml:space="preserve">($1,440)</t>
  </si>
  <si>
    <t xml:space="preserve">  =12% × $6,000 × 2 years</t>
  </si>
  <si>
    <t xml:space="preserve">2-year claims exposure</t>
  </si>
  <si>
    <t xml:space="preserve">LTV net of claims</t>
  </si>
  <si>
    <t xml:space="preserve">$660</t>
  </si>
  <si>
    <t xml:space="preserve">  =$2,100 − $1,440</t>
  </si>
  <si>
    <t xml:space="preserve">Before CAC and opex allocation</t>
  </si>
  <si>
    <t xml:space="preserve">CAC payback period</t>
  </si>
  <si>
    <t xml:space="preserve">6 months</t>
  </si>
  <si>
    <t xml:space="preserve">  =$500 cac ÷ $87.50/mo</t>
  </si>
  <si>
    <t xml:space="preserve">Fee revenue alone covers CAC in 6 months</t>
  </si>
  <si>
    <t xml:space="preserve">LTV:CAC ratio (Phase 1)</t>
  </si>
  <si>
    <t xml:space="preserve">4.2×</t>
  </si>
  <si>
    <t xml:space="preserve">  =$2,100 ÷ $500</t>
  </si>
  <si>
    <t xml:space="preserve">Healthy; &gt;3× is viable SaaS benchmark</t>
  </si>
  <si>
    <t xml:space="preserve">LTV:CAC ratio (Phase 2)</t>
  </si>
  <si>
    <t xml:space="preserve">6.0×</t>
  </si>
  <si>
    <t xml:space="preserve">  =$2,100 ÷ $350</t>
  </si>
  <si>
    <t xml:space="preserve">Referral flywheel target</t>
  </si>
  <si>
    <t xml:space="preserve">Contribution margin per unit/mo</t>
  </si>
  <si>
    <t xml:space="preserve">$27.50</t>
  </si>
  <si>
    <t xml:space="preserve">  =$87.50 − $60 claims</t>
  </si>
  <si>
    <t xml:space="preserve">Before opex; 31% gross contribution</t>
  </si>
  <si>
    <t xml:space="preserve">Monthly break-even (units)</t>
  </si>
  <si>
    <t xml:space="preserve">982 units</t>
  </si>
  <si>
    <t xml:space="preserve">  =$27k opex ÷ $27.50/unit</t>
  </si>
  <si>
    <t xml:space="preserve">Y1 burn covered at ~982 basic units; achieved ~M17–M19</t>
  </si>
  <si>
    <t xml:space="preserve">MANAGED TIER — INCREMENTAL ECONOMICS</t>
  </si>
  <si>
    <t xml:space="preserve">Managed tier fee per unit/month</t>
  </si>
  <si>
    <t xml:space="preserve">$200</t>
  </si>
  <si>
    <t xml:space="preserve">Covers full property management + guarantee</t>
  </si>
  <si>
    <t xml:space="preserve">Works labor cost per unit/month</t>
  </si>
  <si>
    <t xml:space="preserve">$100</t>
  </si>
  <si>
    <t xml:space="preserve">  =50% of fee</t>
  </si>
  <si>
    <t xml:space="preserve">Works employees at ~$35K/yr; 1 employee per 30 units</t>
  </si>
  <si>
    <t xml:space="preserve">Managed gross margin per unit/mo</t>
  </si>
  <si>
    <t xml:space="preserve">  =$200 − $100</t>
  </si>
  <si>
    <t xml:space="preserve">50% gross margin on managed tier</t>
  </si>
  <si>
    <t xml:space="preserve">Annual managed margin per unit</t>
  </si>
  <si>
    <t xml:space="preserve">$1,200</t>
  </si>
  <si>
    <t xml:space="preserve">  =$100 × 12</t>
  </si>
  <si>
    <t xml:space="preserve">Claims cost (same 12% rate)</t>
  </si>
  <si>
    <t xml:space="preserve">($720)</t>
  </si>
  <si>
    <t xml:space="preserve">  =12% × $6,000 / year</t>
  </si>
  <si>
    <t xml:space="preserve">Same claims assumption as basic</t>
  </si>
  <si>
    <t xml:space="preserve">Net managed contribution/unit/yr</t>
  </si>
  <si>
    <t xml:space="preserve">$480</t>
  </si>
  <si>
    <t xml:space="preserve">  =$1,200 − $720</t>
  </si>
  <si>
    <t xml:space="preserve">Higher than basic ($660 − $500 CAC = $160 yr 1) due to fee premium</t>
  </si>
  <si>
    <t xml:space="preserve">Works employment (per 300 units)</t>
  </si>
  <si>
    <t xml:space="preserve">10 jobs</t>
  </si>
  <si>
    <t xml:space="preserve">  =300 units ÷ 30 units/emp</t>
  </si>
  <si>
    <t xml:space="preserve">Self-funding at 300 managed units per PRD §14</t>
  </si>
  <si>
    <t xml:space="preserve">REVENUE STACK PER UNIT — FULL MODEL (mature state)</t>
  </si>
  <si>
    <t xml:space="preserve">Revenue Layer</t>
  </si>
  <si>
    <t xml:space="preserve">Monthly/Unit</t>
  </si>
  <si>
    <t xml:space="preserve">Multiple vs Basic</t>
  </si>
  <si>
    <t xml:space="preserve">Basic platform fee (landlord pays)</t>
  </si>
  <si>
    <t xml:space="preserve">$87.50 / mo</t>
  </si>
  <si>
    <t xml:space="preserve">1.0×</t>
  </si>
  <si>
    <t xml:space="preserve">Base product</t>
  </si>
  <si>
    <t xml:space="preserve">+ HA platform fee (HA pays)</t>
  </si>
  <si>
    <t xml:space="preserve">2.0×</t>
  </si>
  <si>
    <t xml:space="preserve">For voucher-placed units in Phase 2+; housing authority budget</t>
  </si>
  <si>
    <t xml:space="preserve">  =total per basic+ha unit</t>
  </si>
  <si>
    <t xml:space="preserve">$175.00 / mo</t>
  </si>
  <si>
    <t xml:space="preserve">Combined for HA-enrolled landlords (majority in Phase 3)</t>
  </si>
  <si>
    <t xml:space="preserve">Managed premium (vs. basic)</t>
  </si>
  <si>
    <t xml:space="preserve">+$112.50 / mo</t>
  </si>
  <si>
    <t xml:space="preserve">3.3×</t>
  </si>
  <si>
    <t xml:space="preserve">$200 managed − $87.50 basic = $112.50 premium per managed unit</t>
  </si>
  <si>
    <t xml:space="preserve">Managed + HA combined</t>
  </si>
  <si>
    <t xml:space="preserve">$287.50 / mo</t>
  </si>
  <si>
    <t xml:space="preserve">Full stack on a Managed unit with HA placement</t>
  </si>
  <si>
    <t xml:space="preserve">BREAK-EVEN ANALYSIS</t>
  </si>
  <si>
    <t xml:space="preserve">Y1 monthly burn rate</t>
  </si>
  <si>
    <t xml:space="preserve">$27,000</t>
  </si>
  <si>
    <t xml:space="preserve">Input — PRD Phase 1</t>
  </si>
  <si>
    <t xml:space="preserve">$324K/year total operating burn</t>
  </si>
  <si>
    <t xml:space="preserve">Contribution margin/unit/month (basic)</t>
  </si>
  <si>
    <t xml:space="preserve">31.4% gross contribution</t>
  </si>
  <si>
    <t xml:space="preserve">Break-even units — Y1 burn</t>
  </si>
  <si>
    <t xml:space="preserve">  =$27,0 ÷ $27.50</t>
  </si>
  <si>
    <t xml:space="preserve">Reached M17–M19 with ~1,000 basic units enrolled</t>
  </si>
  <si>
    <t xml:space="preserve">Y2 monthly burn rate</t>
  </si>
  <si>
    <t xml:space="preserve">$71,000</t>
  </si>
  <si>
    <t xml:space="preserve">Avg of $60K→$90K ramp</t>
  </si>
  <si>
    <t xml:space="preserve">Scaled team; 8 FTE</t>
  </si>
  <si>
    <t xml:space="preserve">Contribution margin/unit/month (basic+HA)</t>
  </si>
  <si>
    <t xml:space="preserve">$115</t>
  </si>
  <si>
    <t xml:space="preserve">  =$175 − $60 claims</t>
  </si>
  <si>
    <t xml:space="preserve">When HA fee stacked on top of basic fee</t>
  </si>
  <si>
    <t xml:space="preserve">Break-even units — Y2 (basic+HA mix)</t>
  </si>
  <si>
    <t xml:space="preserve">617 units</t>
  </si>
  <si>
    <t xml:space="preserve">  =$71,0 ÷ $115</t>
  </si>
  <si>
    <t xml:space="preserve">Reached in M16 with ~700 basic + HA units</t>
  </si>
  <si>
    <t xml:space="preserve">Cash-flow positive milestone</t>
  </si>
  <si>
    <t xml:space="preserve">Model shows EBITDA &gt; 0 starting M17 (see Monthly Detail tab)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</si>
</sst>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00B050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EEAF1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00B050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4" t="s">
        <v>2</v>
      </c>
      <c r="C2" s="5" t="s">
        <v>3</v>
      </c>
    </row>
    <row r="4" customFormat="false" ht="15" hidden="false" customHeight="true" outlineLevel="0" collapsed="false">
      <c r="A4" s="6" t="s">
        <v>4</v>
      </c>
      <c r="B4" s="6"/>
      <c r="C4" s="6"/>
    </row>
    <row r="5" customFormat="false" ht="15" hidden="false" customHeight="true" outlineLevel="0" collapsed="false">
      <c r="A5" s="7" t="s">
        <v>5</v>
      </c>
      <c r="B5" s="8" t="n">
        <v>87.5</v>
      </c>
      <c r="C5" s="9" t="s">
        <v>6</v>
      </c>
    </row>
    <row r="6" customFormat="false" ht="15" hidden="false" customHeight="true" outlineLevel="0" collapsed="false">
      <c r="A6" s="7" t="s">
        <v>7</v>
      </c>
      <c r="B6" s="8" t="n">
        <v>200</v>
      </c>
      <c r="C6" s="9" t="s">
        <v>8</v>
      </c>
    </row>
    <row r="7" customFormat="false" ht="15" hidden="false" customHeight="true" outlineLevel="0" collapsed="false">
      <c r="A7" s="7" t="s">
        <v>9</v>
      </c>
      <c r="B7" s="8" t="n">
        <v>87.5</v>
      </c>
      <c r="C7" s="9" t="s">
        <v>10</v>
      </c>
    </row>
    <row r="8" customFormat="false" ht="15" hidden="false" customHeight="true" outlineLevel="0" collapsed="false">
      <c r="A8" s="7" t="s">
        <v>11</v>
      </c>
      <c r="B8" s="10" t="n">
        <v>3</v>
      </c>
      <c r="C8" s="9" t="s">
        <v>12</v>
      </c>
    </row>
    <row r="10" customFormat="false" ht="15" hidden="false" customHeight="true" outlineLevel="0" collapsed="false">
      <c r="A10" s="6" t="s">
        <v>13</v>
      </c>
      <c r="B10" s="6"/>
      <c r="C10" s="6"/>
    </row>
    <row r="11" customFormat="false" ht="15" hidden="false" customHeight="true" outlineLevel="0" collapsed="false">
      <c r="A11" s="7" t="s">
        <v>14</v>
      </c>
      <c r="B11" s="11" t="n">
        <v>0.12</v>
      </c>
      <c r="C11" s="9" t="s">
        <v>15</v>
      </c>
    </row>
    <row r="12" customFormat="false" ht="15" hidden="false" customHeight="true" outlineLevel="0" collapsed="false">
      <c r="A12" s="7" t="s">
        <v>16</v>
      </c>
      <c r="B12" s="8" t="n">
        <v>6000</v>
      </c>
      <c r="C12" s="9" t="s">
        <v>17</v>
      </c>
    </row>
    <row r="13" customFormat="false" ht="15" hidden="false" customHeight="true" outlineLevel="0" collapsed="false">
      <c r="A13" s="7" t="s">
        <v>18</v>
      </c>
      <c r="B13" s="12" t="n">
        <f aca="false">B9/12</f>
        <v>0</v>
      </c>
      <c r="C13" s="9" t="s">
        <v>19</v>
      </c>
    </row>
    <row r="14" customFormat="false" ht="15" hidden="false" customHeight="true" outlineLevel="0" collapsed="false">
      <c r="A14" s="7" t="s">
        <v>20</v>
      </c>
      <c r="B14" s="8" t="n">
        <v>2000000</v>
      </c>
      <c r="C14" s="9" t="s">
        <v>21</v>
      </c>
    </row>
    <row r="15" customFormat="false" ht="15" hidden="false" customHeight="true" outlineLevel="0" collapsed="false">
      <c r="A15" s="7" t="s">
        <v>22</v>
      </c>
      <c r="B15" s="8" t="n">
        <v>750000</v>
      </c>
      <c r="C15" s="9" t="s">
        <v>23</v>
      </c>
    </row>
    <row r="16" customFormat="false" ht="15" hidden="false" customHeight="true" outlineLevel="0" collapsed="false">
      <c r="A16" s="7" t="s">
        <v>24</v>
      </c>
      <c r="B16" s="8" t="n">
        <v>20000</v>
      </c>
      <c r="C16" s="9" t="s">
        <v>25</v>
      </c>
    </row>
    <row r="18" customFormat="false" ht="15" hidden="false" customHeight="true" outlineLevel="0" collapsed="false">
      <c r="A18" s="6" t="s">
        <v>26</v>
      </c>
      <c r="B18" s="6"/>
      <c r="C18" s="6"/>
    </row>
    <row r="19" customFormat="false" ht="15" hidden="false" customHeight="true" outlineLevel="0" collapsed="false">
      <c r="A19" s="7" t="s">
        <v>27</v>
      </c>
      <c r="B19" s="11" t="n">
        <v>0.15</v>
      </c>
      <c r="C19" s="9" t="s">
        <v>28</v>
      </c>
    </row>
    <row r="20" customFormat="false" ht="15" hidden="false" customHeight="true" outlineLevel="0" collapsed="false">
      <c r="A20" s="7" t="s">
        <v>29</v>
      </c>
      <c r="B20" s="12" t="n">
        <f aca="false">B17/12</f>
        <v>0</v>
      </c>
      <c r="C20" s="9" t="s">
        <v>30</v>
      </c>
    </row>
    <row r="21" customFormat="false" ht="15" hidden="false" customHeight="true" outlineLevel="0" collapsed="false">
      <c r="A21" s="7" t="s">
        <v>31</v>
      </c>
      <c r="B21" s="8" t="n">
        <v>500</v>
      </c>
      <c r="C21" s="9" t="s">
        <v>32</v>
      </c>
    </row>
    <row r="22" customFormat="false" ht="15" hidden="false" customHeight="true" outlineLevel="0" collapsed="false">
      <c r="A22" s="7" t="s">
        <v>33</v>
      </c>
      <c r="B22" s="8" t="n">
        <v>350</v>
      </c>
      <c r="C22" s="9" t="s">
        <v>34</v>
      </c>
    </row>
    <row r="23" customFormat="false" ht="15" hidden="false" customHeight="true" outlineLevel="0" collapsed="false">
      <c r="A23" s="7" t="s">
        <v>35</v>
      </c>
      <c r="B23" s="10" t="n">
        <v>24</v>
      </c>
      <c r="C23" s="9" t="s">
        <v>36</v>
      </c>
    </row>
    <row r="24" customFormat="false" ht="15" hidden="false" customHeight="true" outlineLevel="0" collapsed="false">
      <c r="A24" s="7" t="s">
        <v>37</v>
      </c>
      <c r="B24" s="11" t="n">
        <v>0.5</v>
      </c>
      <c r="C24" s="9" t="s">
        <v>38</v>
      </c>
    </row>
    <row r="26" customFormat="false" ht="15" hidden="false" customHeight="true" outlineLevel="0" collapsed="false">
      <c r="A26" s="6" t="s">
        <v>39</v>
      </c>
      <c r="B26" s="6"/>
      <c r="C26" s="6"/>
    </row>
    <row r="27" customFormat="false" ht="23.25" hidden="false" customHeight="true" outlineLevel="0" collapsed="false">
      <c r="A27" s="13" t="s">
        <v>40</v>
      </c>
      <c r="B27" s="13" t="s">
        <v>41</v>
      </c>
      <c r="C27" s="13" t="s">
        <v>42</v>
      </c>
    </row>
    <row r="28" customFormat="false" ht="15" hidden="false" customHeight="true" outlineLevel="0" collapsed="false">
      <c r="A28" s="14" t="s">
        <v>43</v>
      </c>
      <c r="B28" s="15" t="s">
        <v>44</v>
      </c>
      <c r="C28" s="16" t="s">
        <v>45</v>
      </c>
    </row>
    <row r="29" customFormat="false" ht="15" hidden="false" customHeight="true" outlineLevel="0" collapsed="false">
      <c r="A29" s="14" t="s">
        <v>46</v>
      </c>
      <c r="B29" s="15" t="s">
        <v>47</v>
      </c>
      <c r="C29" s="16" t="s">
        <v>48</v>
      </c>
    </row>
    <row r="30" customFormat="false" ht="15" hidden="false" customHeight="true" outlineLevel="0" collapsed="false">
      <c r="A30" s="14" t="s">
        <v>49</v>
      </c>
      <c r="B30" s="15" t="s">
        <v>50</v>
      </c>
      <c r="C30" s="16" t="s">
        <v>51</v>
      </c>
    </row>
    <row r="31" customFormat="false" ht="15" hidden="false" customHeight="true" outlineLevel="0" collapsed="false">
      <c r="A31" s="14" t="s">
        <v>52</v>
      </c>
      <c r="B31" s="15" t="s">
        <v>53</v>
      </c>
      <c r="C31" s="16" t="s">
        <v>54</v>
      </c>
    </row>
    <row r="32" customFormat="false" ht="15" hidden="false" customHeight="true" outlineLevel="0" collapsed="false">
      <c r="A32" s="14" t="s">
        <v>55</v>
      </c>
      <c r="B32" s="15" t="s">
        <v>56</v>
      </c>
      <c r="C32" s="16" t="s">
        <v>57</v>
      </c>
    </row>
    <row r="33" customFormat="false" ht="15" hidden="false" customHeight="true" outlineLevel="0" collapsed="false">
      <c r="A33" s="14" t="s">
        <v>58</v>
      </c>
      <c r="B33" s="15" t="s">
        <v>59</v>
      </c>
      <c r="C33" s="16" t="s">
        <v>60</v>
      </c>
    </row>
    <row r="35" customFormat="false" ht="15" hidden="false" customHeight="true" outlineLevel="0" collapsed="false">
      <c r="A35" s="6" t="s">
        <v>61</v>
      </c>
      <c r="B35" s="6"/>
      <c r="C35" s="6"/>
    </row>
    <row r="36" customFormat="false" ht="15" hidden="false" customHeight="true" outlineLevel="0" collapsed="false">
      <c r="A36" s="7" t="s">
        <v>62</v>
      </c>
      <c r="B36" s="10" t="n">
        <v>2</v>
      </c>
      <c r="C36" s="9" t="s">
        <v>63</v>
      </c>
    </row>
    <row r="37" customFormat="false" ht="15" hidden="false" customHeight="true" outlineLevel="0" collapsed="false">
      <c r="A37" s="7" t="s">
        <v>64</v>
      </c>
      <c r="B37" s="10" t="n">
        <v>4</v>
      </c>
      <c r="C37" s="9" t="s">
        <v>65</v>
      </c>
    </row>
    <row r="38" customFormat="false" ht="15" hidden="false" customHeight="true" outlineLevel="0" collapsed="false">
      <c r="A38" s="7" t="s">
        <v>66</v>
      </c>
      <c r="B38" s="10" t="n">
        <v>8</v>
      </c>
      <c r="C38" s="9" t="s">
        <v>67</v>
      </c>
    </row>
    <row r="39" customFormat="false" ht="15" hidden="false" customHeight="true" outlineLevel="0" collapsed="false">
      <c r="A39" s="7" t="s">
        <v>68</v>
      </c>
      <c r="B39" s="10" t="n">
        <v>15</v>
      </c>
      <c r="C39" s="9" t="s">
        <v>69</v>
      </c>
    </row>
    <row r="40" customFormat="false" ht="15" hidden="false" customHeight="true" outlineLevel="0" collapsed="false">
      <c r="A40" s="7" t="s">
        <v>70</v>
      </c>
      <c r="B40" s="10" t="n">
        <v>25</v>
      </c>
      <c r="C40" s="9" t="s">
        <v>71</v>
      </c>
    </row>
    <row r="41" customFormat="false" ht="15" hidden="false" customHeight="true" outlineLevel="0" collapsed="false">
      <c r="A41" s="7" t="s">
        <v>72</v>
      </c>
      <c r="B41" s="10" t="n">
        <v>40</v>
      </c>
      <c r="C41" s="9" t="s">
        <v>73</v>
      </c>
    </row>
    <row r="42" customFormat="false" ht="15" hidden="false" customHeight="true" outlineLevel="0" collapsed="false">
      <c r="A42" s="7" t="s">
        <v>74</v>
      </c>
      <c r="B42" s="8" t="n">
        <v>112500</v>
      </c>
      <c r="C42" s="9" t="s">
        <v>75</v>
      </c>
    </row>
    <row r="44" customFormat="false" ht="15" hidden="false" customHeight="true" outlineLevel="0" collapsed="false">
      <c r="A44" s="6" t="s">
        <v>76</v>
      </c>
      <c r="B44" s="6"/>
      <c r="C44" s="6"/>
    </row>
    <row r="45" customFormat="false" ht="15" hidden="false" customHeight="true" outlineLevel="0" collapsed="false">
      <c r="A45" s="14" t="s">
        <v>77</v>
      </c>
      <c r="B45" s="17" t="s">
        <v>78</v>
      </c>
      <c r="C45" s="15" t="s">
        <v>79</v>
      </c>
    </row>
    <row r="46" customFormat="false" ht="15" hidden="false" customHeight="true" outlineLevel="0" collapsed="false">
      <c r="A46" s="14" t="s">
        <v>80</v>
      </c>
      <c r="B46" s="17" t="s">
        <v>78</v>
      </c>
      <c r="C46" s="15" t="s">
        <v>81</v>
      </c>
    </row>
    <row r="47" customFormat="false" ht="15" hidden="false" customHeight="true" outlineLevel="0" collapsed="false">
      <c r="A47" s="14" t="s">
        <v>82</v>
      </c>
      <c r="B47" s="17" t="s">
        <v>78</v>
      </c>
      <c r="C47" s="15" t="s">
        <v>83</v>
      </c>
    </row>
    <row r="48" customFormat="false" ht="15" hidden="false" customHeight="true" outlineLevel="0" collapsed="false">
      <c r="A48" s="14" t="s">
        <v>84</v>
      </c>
      <c r="B48" s="17" t="s">
        <v>78</v>
      </c>
      <c r="C48" s="15" t="s">
        <v>85</v>
      </c>
    </row>
    <row r="49" customFormat="false" ht="15" hidden="false" customHeight="true" outlineLevel="0" collapsed="false">
      <c r="A49" s="14" t="s">
        <v>86</v>
      </c>
      <c r="B49" s="17" t="s">
        <v>78</v>
      </c>
      <c r="C49" s="15" t="s">
        <v>87</v>
      </c>
    </row>
  </sheetData>
  <mergeCells count="7">
    <mergeCell ref="A1:C1"/>
    <mergeCell ref="A4:C4"/>
    <mergeCell ref="A10:C10"/>
    <mergeCell ref="A18:C18"/>
    <mergeCell ref="A26:C26"/>
    <mergeCell ref="A35:C35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8" t="s">
        <v>89</v>
      </c>
      <c r="B2" s="18"/>
      <c r="C2" s="18"/>
      <c r="D2" s="18"/>
      <c r="E2" s="18"/>
      <c r="F2" s="18"/>
      <c r="G2" s="18"/>
      <c r="H2" s="18"/>
    </row>
    <row r="3" customFormat="false" ht="36" hidden="false" customHeight="true" outlineLevel="0" collapsed="false">
      <c r="A3" s="13" t="s">
        <v>90</v>
      </c>
      <c r="B3" s="13" t="s">
        <v>91</v>
      </c>
      <c r="C3" s="13" t="s">
        <v>92</v>
      </c>
      <c r="D3" s="13" t="s">
        <v>93</v>
      </c>
      <c r="E3" s="13" t="s">
        <v>94</v>
      </c>
      <c r="F3" s="13" t="s">
        <v>95</v>
      </c>
      <c r="G3" s="13" t="s">
        <v>96</v>
      </c>
      <c r="H3" s="13" t="s">
        <v>97</v>
      </c>
    </row>
    <row r="4" customFormat="false" ht="15" hidden="false" customHeight="true" outlineLevel="0" collapsed="false">
      <c r="A4" s="6" t="s">
        <v>98</v>
      </c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99</v>
      </c>
      <c r="B5" s="10" t="n">
        <v>0</v>
      </c>
      <c r="C5" s="10" t="n">
        <v>500</v>
      </c>
      <c r="D5" s="10" t="n">
        <v>2000</v>
      </c>
      <c r="E5" s="10" t="n">
        <v>4000</v>
      </c>
      <c r="F5" s="10" t="n">
        <v>7000</v>
      </c>
      <c r="G5" s="10" t="n">
        <v>10000</v>
      </c>
      <c r="H5" s="19" t="n">
        <f aca="false">SUM(C5:G5)</f>
        <v>23500</v>
      </c>
    </row>
    <row r="6" customFormat="false" ht="15" hidden="false" customHeight="true" outlineLevel="0" collapsed="false">
      <c r="A6" s="7" t="s">
        <v>100</v>
      </c>
      <c r="B6" s="10" t="n">
        <v>0</v>
      </c>
      <c r="C6" s="10" t="n">
        <v>0</v>
      </c>
      <c r="D6" s="10" t="n">
        <v>200</v>
      </c>
      <c r="E6" s="10" t="n">
        <v>800</v>
      </c>
      <c r="F6" s="10" t="n">
        <v>2000</v>
      </c>
      <c r="G6" s="10" t="n">
        <v>4000</v>
      </c>
      <c r="H6" s="20" t="s">
        <v>101</v>
      </c>
    </row>
    <row r="7" customFormat="false" ht="15" hidden="false" customHeight="true" outlineLevel="0" collapsed="false">
      <c r="A7" s="7" t="s">
        <v>102</v>
      </c>
      <c r="B7" s="10" t="n">
        <v>0</v>
      </c>
      <c r="C7" s="10" t="n">
        <v>0</v>
      </c>
      <c r="D7" s="10" t="n">
        <v>500</v>
      </c>
      <c r="E7" s="10" t="n">
        <v>2000</v>
      </c>
      <c r="F7" s="10" t="n">
        <v>4000</v>
      </c>
      <c r="G7" s="10" t="n">
        <v>7000</v>
      </c>
      <c r="H7" s="20" t="s">
        <v>103</v>
      </c>
    </row>
    <row r="8" customFormat="false" ht="15" hidden="false" customHeight="true" outlineLevel="0" collapsed="false">
      <c r="A8" s="7" t="s">
        <v>104</v>
      </c>
      <c r="B8" s="10" t="n">
        <v>0</v>
      </c>
      <c r="C8" s="10" t="n">
        <v>500</v>
      </c>
      <c r="D8" s="10" t="n">
        <v>2200</v>
      </c>
      <c r="E8" s="10" t="n">
        <v>4800</v>
      </c>
      <c r="F8" s="10" t="n">
        <v>9000</v>
      </c>
      <c r="G8" s="10" t="n">
        <v>14000</v>
      </c>
      <c r="H8" s="19" t="n">
        <f aca="false">SUM(C8:G8)</f>
        <v>30500</v>
      </c>
    </row>
    <row r="10" customFormat="false" ht="15" hidden="false" customHeight="true" outlineLevel="0" collapsed="false">
      <c r="A10" s="6" t="s">
        <v>105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7" t="s">
        <v>106</v>
      </c>
      <c r="B11" s="8" t="n">
        <v>0</v>
      </c>
      <c r="C11" s="8" t="n">
        <v>260000</v>
      </c>
      <c r="D11" s="8" t="n">
        <v>1208000</v>
      </c>
      <c r="E11" s="8" t="n">
        <v>3150000</v>
      </c>
      <c r="F11" s="8" t="n">
        <v>5775000</v>
      </c>
      <c r="G11" s="8" t="n">
        <v>8925000</v>
      </c>
      <c r="H11" s="21" t="n">
        <v>19318000</v>
      </c>
    </row>
    <row r="12" customFormat="false" ht="15" hidden="false" customHeight="true" outlineLevel="0" collapsed="false">
      <c r="A12" s="7" t="s">
        <v>107</v>
      </c>
      <c r="B12" s="8" t="n">
        <v>0</v>
      </c>
      <c r="C12" s="8" t="n">
        <v>0</v>
      </c>
      <c r="D12" s="8" t="n">
        <v>180000</v>
      </c>
      <c r="E12" s="8" t="n">
        <v>1200000</v>
      </c>
      <c r="F12" s="8" t="n">
        <v>3360000</v>
      </c>
      <c r="G12" s="8" t="n">
        <v>7200000</v>
      </c>
      <c r="H12" s="21" t="n">
        <v>11940000</v>
      </c>
    </row>
    <row r="13" customFormat="false" ht="15" hidden="false" customHeight="true" outlineLevel="0" collapsed="false">
      <c r="A13" s="22" t="s">
        <v>108</v>
      </c>
      <c r="B13" s="23" t="n">
        <v>0</v>
      </c>
      <c r="C13" s="23" t="n">
        <v>0</v>
      </c>
      <c r="D13" s="23" t="n">
        <v>153000</v>
      </c>
      <c r="E13" s="23" t="n">
        <v>1313000</v>
      </c>
      <c r="F13" s="23" t="n">
        <v>3150000</v>
      </c>
      <c r="G13" s="23" t="n">
        <v>5775000</v>
      </c>
      <c r="H13" s="24" t="n">
        <v>10391000</v>
      </c>
    </row>
    <row r="14" customFormat="false" ht="15" hidden="false" customHeight="true" outlineLevel="0" collapsed="false">
      <c r="A14" s="14" t="s">
        <v>109</v>
      </c>
      <c r="B14" s="25" t="n">
        <v>0</v>
      </c>
      <c r="C14" s="25" t="n">
        <v>260000</v>
      </c>
      <c r="D14" s="25" t="n">
        <v>1541000</v>
      </c>
      <c r="E14" s="25" t="n">
        <v>5663000</v>
      </c>
      <c r="F14" s="25" t="n">
        <v>12285000</v>
      </c>
      <c r="G14" s="25" t="n">
        <v>21900000</v>
      </c>
      <c r="H14" s="25" t="n">
        <v>41649000</v>
      </c>
    </row>
    <row r="16" customFormat="false" ht="15" hidden="false" customHeight="true" outlineLevel="0" collapsed="false">
      <c r="A16" s="6" t="s">
        <v>110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7" t="s">
        <v>111</v>
      </c>
      <c r="B17" s="8" t="n">
        <v>0</v>
      </c>
      <c r="C17" s="8" t="n">
        <v>18000</v>
      </c>
      <c r="D17" s="8" t="n">
        <v>90000</v>
      </c>
      <c r="E17" s="8" t="n">
        <v>252000</v>
      </c>
      <c r="F17" s="8" t="n">
        <v>497000</v>
      </c>
      <c r="G17" s="8" t="n">
        <v>828000</v>
      </c>
      <c r="H17" s="21" t="n">
        <v>1685000</v>
      </c>
    </row>
    <row r="18" customFormat="false" ht="15" hidden="false" customHeight="true" outlineLevel="0" collapsed="false">
      <c r="A18" s="22" t="s">
        <v>112</v>
      </c>
      <c r="B18" s="23" t="n">
        <v>0</v>
      </c>
      <c r="C18" s="23" t="n">
        <v>0</v>
      </c>
      <c r="D18" s="23" t="n">
        <v>90000</v>
      </c>
      <c r="E18" s="23" t="n">
        <v>600000</v>
      </c>
      <c r="F18" s="23" t="n">
        <v>1680000</v>
      </c>
      <c r="G18" s="23" t="n">
        <v>3600000</v>
      </c>
      <c r="H18" s="24" t="n">
        <v>5970000</v>
      </c>
    </row>
    <row r="19" customFormat="false" ht="15" hidden="false" customHeight="true" outlineLevel="0" collapsed="false">
      <c r="A19" s="14" t="s">
        <v>113</v>
      </c>
      <c r="B19" s="25" t="n">
        <v>0</v>
      </c>
      <c r="C19" s="25" t="n">
        <v>18000</v>
      </c>
      <c r="D19" s="25" t="n">
        <v>180000</v>
      </c>
      <c r="E19" s="25" t="n">
        <v>852000</v>
      </c>
      <c r="F19" s="25" t="n">
        <v>2177000</v>
      </c>
      <c r="G19" s="25" t="n">
        <v>4428000</v>
      </c>
      <c r="H19" s="25" t="n">
        <v>7655000</v>
      </c>
    </row>
    <row r="20" customFormat="false" ht="15" hidden="false" customHeight="true" outlineLevel="0" collapsed="false">
      <c r="A20" s="14" t="s">
        <v>114</v>
      </c>
      <c r="B20" s="25" t="n">
        <v>0</v>
      </c>
      <c r="C20" s="25" t="n">
        <v>242000</v>
      </c>
      <c r="D20" s="25" t="n">
        <v>1361000</v>
      </c>
      <c r="E20" s="25" t="n">
        <v>4811000</v>
      </c>
      <c r="F20" s="25" t="n">
        <v>10108000</v>
      </c>
      <c r="G20" s="25" t="n">
        <v>17472000</v>
      </c>
      <c r="H20" s="25" t="n">
        <v>33994000</v>
      </c>
    </row>
    <row r="21" customFormat="false" ht="15" hidden="false" customHeight="true" outlineLevel="0" collapsed="false">
      <c r="A21" s="16" t="s">
        <v>115</v>
      </c>
      <c r="B21" s="26" t="s">
        <v>116</v>
      </c>
      <c r="C21" s="27" t="n">
        <v>0.930769230769231</v>
      </c>
      <c r="D21" s="27" t="n">
        <v>0.883192731992213</v>
      </c>
      <c r="E21" s="27" t="n">
        <v>0.849549708634999</v>
      </c>
      <c r="F21" s="27" t="n">
        <v>0.822792022792023</v>
      </c>
      <c r="G21" s="27" t="n">
        <v>0.797808219178082</v>
      </c>
      <c r="H21" s="27" t="n">
        <v>0.816202069677543</v>
      </c>
    </row>
    <row r="23" customFormat="false" ht="15" hidden="false" customHeight="true" outlineLevel="0" collapsed="false">
      <c r="A23" s="6" t="s">
        <v>117</v>
      </c>
      <c r="B23" s="6"/>
      <c r="C23" s="6"/>
      <c r="D23" s="6"/>
      <c r="E23" s="6"/>
      <c r="F23" s="6"/>
      <c r="G23" s="6"/>
      <c r="H23" s="6"/>
    </row>
    <row r="24" customFormat="false" ht="15" hidden="false" customHeight="true" outlineLevel="0" collapsed="false">
      <c r="A24" s="7" t="s">
        <v>118</v>
      </c>
      <c r="B24" s="8" t="n">
        <v>100000</v>
      </c>
      <c r="C24" s="8" t="n">
        <v>324000</v>
      </c>
      <c r="D24" s="8" t="n">
        <v>850000</v>
      </c>
      <c r="E24" s="8" t="n">
        <v>1688000</v>
      </c>
      <c r="F24" s="8" t="n">
        <v>2813000</v>
      </c>
      <c r="G24" s="8" t="n">
        <v>4500000</v>
      </c>
      <c r="H24" s="21" t="n">
        <v>10175000</v>
      </c>
    </row>
    <row r="25" customFormat="false" ht="15" hidden="false" customHeight="true" outlineLevel="0" collapsed="false">
      <c r="A25" s="7" t="s">
        <v>119</v>
      </c>
      <c r="B25" s="8" t="n">
        <v>15000</v>
      </c>
      <c r="C25" s="8" t="n">
        <v>121500</v>
      </c>
      <c r="D25" s="8" t="n">
        <v>150000</v>
      </c>
      <c r="E25" s="8" t="n">
        <v>250000</v>
      </c>
      <c r="F25" s="8" t="n">
        <v>400000</v>
      </c>
      <c r="G25" s="8" t="n">
        <v>700000</v>
      </c>
      <c r="H25" s="21" t="n">
        <v>1621500</v>
      </c>
    </row>
    <row r="26" customFormat="false" ht="15" hidden="false" customHeight="true" outlineLevel="0" collapsed="false">
      <c r="A26" s="7" t="s">
        <v>120</v>
      </c>
      <c r="B26" s="8" t="n">
        <v>50000</v>
      </c>
      <c r="C26" s="8" t="n">
        <v>50000</v>
      </c>
      <c r="D26" s="8" t="n">
        <v>80000</v>
      </c>
      <c r="E26" s="8" t="n">
        <v>150000</v>
      </c>
      <c r="F26" s="8" t="n">
        <v>300000</v>
      </c>
      <c r="G26" s="8" t="n">
        <v>600000</v>
      </c>
      <c r="H26" s="21" t="n">
        <v>1180000</v>
      </c>
    </row>
    <row r="27" customFormat="false" ht="15" hidden="false" customHeight="true" outlineLevel="0" collapsed="false">
      <c r="A27" s="22" t="s">
        <v>121</v>
      </c>
      <c r="B27" s="23" t="n">
        <v>25000</v>
      </c>
      <c r="C27" s="23" t="n">
        <v>30000</v>
      </c>
      <c r="D27" s="23" t="n">
        <v>50000</v>
      </c>
      <c r="E27" s="23" t="n">
        <v>100000</v>
      </c>
      <c r="F27" s="23" t="n">
        <v>150000</v>
      </c>
      <c r="G27" s="23" t="n">
        <v>250000</v>
      </c>
      <c r="H27" s="24" t="n">
        <v>580000</v>
      </c>
    </row>
    <row r="28" customFormat="false" ht="15" hidden="false" customHeight="true" outlineLevel="0" collapsed="false">
      <c r="A28" s="14" t="s">
        <v>122</v>
      </c>
      <c r="B28" s="25" t="n">
        <v>190000</v>
      </c>
      <c r="C28" s="25" t="n">
        <v>525500</v>
      </c>
      <c r="D28" s="25" t="n">
        <v>1130000</v>
      </c>
      <c r="E28" s="25" t="n">
        <v>2188000</v>
      </c>
      <c r="F28" s="25" t="n">
        <v>3663000</v>
      </c>
      <c r="G28" s="25" t="n">
        <v>6050000</v>
      </c>
      <c r="H28" s="25" t="n">
        <v>13556500</v>
      </c>
    </row>
    <row r="29" customFormat="false" ht="15" hidden="false" customHeight="true" outlineLevel="0" collapsed="false">
      <c r="A29" s="14" t="s">
        <v>123</v>
      </c>
      <c r="B29" s="28" t="n">
        <v>-190000</v>
      </c>
      <c r="C29" s="28" t="n">
        <v>-283500</v>
      </c>
      <c r="D29" s="29" t="n">
        <v>231000</v>
      </c>
      <c r="E29" s="29" t="n">
        <v>2623000</v>
      </c>
      <c r="F29" s="29" t="n">
        <v>6445000</v>
      </c>
      <c r="G29" s="29" t="n">
        <v>11422000</v>
      </c>
      <c r="H29" s="29" t="n">
        <v>20437500</v>
      </c>
    </row>
    <row r="30" customFormat="false" ht="15" hidden="false" customHeight="true" outlineLevel="0" collapsed="false">
      <c r="A30" s="16" t="s">
        <v>124</v>
      </c>
      <c r="B30" s="30" t="s">
        <v>125</v>
      </c>
      <c r="C30" s="31" t="n">
        <v>-1.09038461538462</v>
      </c>
      <c r="D30" s="32" t="n">
        <v>0.149902660609994</v>
      </c>
      <c r="E30" s="32" t="n">
        <v>0.46318205897934</v>
      </c>
      <c r="F30" s="32" t="n">
        <v>0.524623524623525</v>
      </c>
      <c r="G30" s="32" t="n">
        <v>0.521552511415525</v>
      </c>
      <c r="H30" s="27" t="n">
        <v>0.490708060217532</v>
      </c>
    </row>
    <row r="32" customFormat="false" ht="15" hidden="false" customHeight="true" outlineLevel="0" collapsed="false">
      <c r="A32" s="6" t="s">
        <v>126</v>
      </c>
      <c r="B32" s="6"/>
      <c r="C32" s="6"/>
      <c r="D32" s="6"/>
      <c r="E32" s="6"/>
      <c r="F32" s="6"/>
      <c r="G32" s="6"/>
      <c r="H32" s="33" t="s">
        <v>127</v>
      </c>
    </row>
    <row r="33" customFormat="false" ht="15" hidden="false" customHeight="true" outlineLevel="0" collapsed="false">
      <c r="A33" s="7" t="s">
        <v>128</v>
      </c>
      <c r="B33" s="8" t="n">
        <v>0</v>
      </c>
      <c r="C33" s="8" t="n">
        <v>2000000</v>
      </c>
      <c r="D33" s="8" t="n">
        <v>1982000</v>
      </c>
      <c r="E33" s="8" t="n">
        <v>1892000</v>
      </c>
      <c r="F33" s="8" t="n">
        <v>1640000</v>
      </c>
      <c r="G33" s="8" t="n">
        <v>1143000</v>
      </c>
    </row>
    <row r="34" customFormat="false" ht="15" hidden="false" customHeight="true" outlineLevel="0" collapsed="false">
      <c r="A34" s="7" t="s">
        <v>129</v>
      </c>
      <c r="B34" s="8" t="n">
        <v>0</v>
      </c>
      <c r="C34" s="8" t="n">
        <v>18000</v>
      </c>
      <c r="D34" s="8" t="n">
        <v>90000</v>
      </c>
      <c r="E34" s="8" t="n">
        <v>252000</v>
      </c>
      <c r="F34" s="8" t="n">
        <v>497000</v>
      </c>
      <c r="G34" s="8" t="n">
        <v>828000</v>
      </c>
    </row>
    <row r="35" customFormat="false" ht="15" hidden="false" customHeight="true" outlineLevel="0" collapsed="false">
      <c r="A35" s="34" t="s">
        <v>130</v>
      </c>
      <c r="B35" s="35" t="n">
        <v>0</v>
      </c>
      <c r="C35" s="36" t="n">
        <v>1982000</v>
      </c>
      <c r="D35" s="36" t="n">
        <v>1892000</v>
      </c>
      <c r="E35" s="36" t="n">
        <v>1640000</v>
      </c>
      <c r="F35" s="36" t="n">
        <v>1143000</v>
      </c>
      <c r="G35" s="35" t="n">
        <v>315000</v>
      </c>
      <c r="H35" s="33" t="s">
        <v>131</v>
      </c>
    </row>
    <row r="37" customFormat="false" ht="15" hidden="false" customHeight="true" outlineLevel="0" collapsed="false">
      <c r="A37" s="6" t="s">
        <v>132</v>
      </c>
      <c r="B37" s="6"/>
      <c r="C37" s="6"/>
      <c r="D37" s="6"/>
      <c r="E37" s="6"/>
      <c r="F37" s="6"/>
      <c r="G37" s="6"/>
      <c r="H37" s="6"/>
    </row>
    <row r="38" customFormat="false" ht="15" hidden="false" customHeight="true" outlineLevel="0" collapsed="false">
      <c r="A38" s="14" t="s">
        <v>133</v>
      </c>
      <c r="B38" s="8" t="n">
        <v>2750000</v>
      </c>
      <c r="C38" s="37" t="s">
        <v>116</v>
      </c>
      <c r="D38" s="37" t="s">
        <v>116</v>
      </c>
      <c r="E38" s="37" t="s">
        <v>116</v>
      </c>
      <c r="F38" s="37" t="s">
        <v>116</v>
      </c>
      <c r="G38" s="37" t="s">
        <v>116</v>
      </c>
      <c r="H38" s="37" t="s">
        <v>116</v>
      </c>
    </row>
    <row r="39" customFormat="false" ht="15" hidden="false" customHeight="true" outlineLevel="0" collapsed="false">
      <c r="A39" s="16" t="s">
        <v>134</v>
      </c>
      <c r="C39" s="38" t="n">
        <v>-283500</v>
      </c>
      <c r="D39" s="38" t="n">
        <v>-52500</v>
      </c>
      <c r="E39" s="39" t="n">
        <v>2570500</v>
      </c>
      <c r="F39" s="39" t="n">
        <v>9015500</v>
      </c>
      <c r="G39" s="39" t="n">
        <v>20437500</v>
      </c>
    </row>
    <row r="41" customFormat="false" ht="15" hidden="false" customHeight="true" outlineLevel="0" collapsed="false">
      <c r="A41" s="40" t="s">
        <v>135</v>
      </c>
      <c r="B41" s="40"/>
      <c r="C41" s="13" t="s">
        <v>136</v>
      </c>
      <c r="D41" s="40" t="s">
        <v>137</v>
      </c>
      <c r="E41" s="40"/>
      <c r="F41" s="40"/>
      <c r="G41" s="40"/>
      <c r="H41" s="40"/>
    </row>
    <row r="42" customFormat="false" ht="15" hidden="false" customHeight="true" outlineLevel="0" collapsed="false">
      <c r="A42" s="7" t="s">
        <v>138</v>
      </c>
      <c r="B42" s="15"/>
      <c r="C42" s="41" t="s">
        <v>139</v>
      </c>
      <c r="D42" s="42" t="s">
        <v>140</v>
      </c>
      <c r="E42" s="42"/>
      <c r="F42" s="42"/>
      <c r="G42" s="42"/>
      <c r="H42" s="42"/>
    </row>
    <row r="43" customFormat="false" ht="15" hidden="false" customHeight="true" outlineLevel="0" collapsed="false">
      <c r="A43" s="7" t="s">
        <v>141</v>
      </c>
      <c r="B43" s="15"/>
      <c r="C43" s="41" t="s">
        <v>142</v>
      </c>
      <c r="D43" s="42" t="s">
        <v>143</v>
      </c>
      <c r="E43" s="42"/>
      <c r="F43" s="42"/>
      <c r="G43" s="42"/>
      <c r="H43" s="42"/>
    </row>
    <row r="44" customFormat="false" ht="15" hidden="false" customHeight="true" outlineLevel="0" collapsed="false">
      <c r="A44" s="7" t="s">
        <v>144</v>
      </c>
      <c r="B44" s="15"/>
      <c r="C44" s="41" t="s">
        <v>145</v>
      </c>
      <c r="D44" s="42" t="s">
        <v>146</v>
      </c>
      <c r="E44" s="42"/>
      <c r="F44" s="42"/>
      <c r="G44" s="42"/>
      <c r="H44" s="42"/>
    </row>
    <row r="45" customFormat="false" ht="15" hidden="false" customHeight="true" outlineLevel="0" collapsed="false">
      <c r="A45" s="7" t="s">
        <v>147</v>
      </c>
      <c r="B45" s="15"/>
      <c r="C45" s="41" t="s">
        <v>148</v>
      </c>
      <c r="D45" s="42" t="s">
        <v>149</v>
      </c>
      <c r="E45" s="42"/>
      <c r="F45" s="42"/>
      <c r="G45" s="42"/>
      <c r="H45" s="42"/>
    </row>
    <row r="46" customFormat="false" ht="15" hidden="false" customHeight="true" outlineLevel="0" collapsed="false">
      <c r="A46" s="7" t="s">
        <v>150</v>
      </c>
      <c r="B46" s="15"/>
      <c r="C46" s="41" t="s">
        <v>151</v>
      </c>
      <c r="D46" s="42" t="s">
        <v>152</v>
      </c>
      <c r="E46" s="42"/>
      <c r="F46" s="42"/>
      <c r="G46" s="42"/>
      <c r="H46" s="42"/>
    </row>
    <row r="47" customFormat="false" ht="15" hidden="false" customHeight="true" outlineLevel="0" collapsed="false">
      <c r="A47" s="7" t="s">
        <v>153</v>
      </c>
      <c r="B47" s="15"/>
      <c r="C47" s="41" t="s">
        <v>142</v>
      </c>
      <c r="D47" s="42" t="s">
        <v>154</v>
      </c>
      <c r="E47" s="42"/>
      <c r="F47" s="42"/>
      <c r="G47" s="42"/>
      <c r="H47" s="42"/>
    </row>
    <row r="48" customFormat="false" ht="15" hidden="false" customHeight="true" outlineLevel="0" collapsed="false">
      <c r="A48" s="7" t="s">
        <v>155</v>
      </c>
      <c r="B48" s="15"/>
      <c r="C48" s="41" t="s">
        <v>156</v>
      </c>
      <c r="D48" s="42" t="s">
        <v>157</v>
      </c>
      <c r="E48" s="42"/>
      <c r="F48" s="42"/>
      <c r="G48" s="42"/>
      <c r="H48" s="42"/>
    </row>
    <row r="49" customFormat="false" ht="15" hidden="false" customHeight="true" outlineLevel="0" collapsed="false">
      <c r="A49" s="7" t="s">
        <v>158</v>
      </c>
      <c r="B49" s="15"/>
      <c r="C49" s="41" t="s">
        <v>159</v>
      </c>
      <c r="D49" s="42" t="s">
        <v>160</v>
      </c>
      <c r="E49" s="42"/>
      <c r="F49" s="42"/>
      <c r="G49" s="42"/>
      <c r="H49" s="42"/>
    </row>
    <row r="50" customFormat="false" ht="15" hidden="false" customHeight="true" outlineLevel="0" collapsed="false">
      <c r="A50" s="7" t="s">
        <v>161</v>
      </c>
      <c r="B50" s="15"/>
      <c r="C50" s="41" t="s">
        <v>162</v>
      </c>
      <c r="D50" s="42" t="s">
        <v>163</v>
      </c>
      <c r="E50" s="42"/>
      <c r="F50" s="42"/>
      <c r="G50" s="42"/>
      <c r="H50" s="42"/>
    </row>
    <row r="51" customFormat="false" ht="15" hidden="false" customHeight="true" outlineLevel="0" collapsed="false">
      <c r="A51" s="7" t="s">
        <v>164</v>
      </c>
      <c r="B51" s="15"/>
      <c r="C51" s="41" t="s">
        <v>165</v>
      </c>
      <c r="D51" s="42" t="s">
        <v>166</v>
      </c>
      <c r="E51" s="42"/>
      <c r="F51" s="42"/>
      <c r="G51" s="42"/>
      <c r="H51" s="42"/>
    </row>
    <row r="52" customFormat="false" ht="15" hidden="false" customHeight="true" outlineLevel="0" collapsed="false">
      <c r="A52" s="7" t="s">
        <v>167</v>
      </c>
      <c r="B52" s="15"/>
      <c r="C52" s="41" t="s">
        <v>168</v>
      </c>
      <c r="D52" s="42" t="s">
        <v>169</v>
      </c>
      <c r="E52" s="42"/>
      <c r="F52" s="42"/>
      <c r="G52" s="42"/>
      <c r="H52" s="42"/>
    </row>
    <row r="53" customFormat="false" ht="15" hidden="false" customHeight="true" outlineLevel="0" collapsed="false">
      <c r="A53" s="7" t="s">
        <v>170</v>
      </c>
      <c r="B53" s="15"/>
      <c r="C53" s="41" t="s">
        <v>171</v>
      </c>
      <c r="D53" s="42" t="s">
        <v>172</v>
      </c>
      <c r="E53" s="42"/>
      <c r="F53" s="42"/>
      <c r="G53" s="42"/>
      <c r="H53" s="42"/>
    </row>
    <row r="54" customFormat="false" ht="15" hidden="false" customHeight="true" outlineLevel="0" collapsed="false">
      <c r="A54" s="7" t="s">
        <v>173</v>
      </c>
      <c r="B54" s="15"/>
      <c r="C54" s="41" t="s">
        <v>174</v>
      </c>
      <c r="D54" s="42" t="s">
        <v>175</v>
      </c>
      <c r="E54" s="42"/>
      <c r="F54" s="42"/>
      <c r="G54" s="42"/>
      <c r="H54" s="42"/>
    </row>
    <row r="55" customFormat="false" ht="15" hidden="false" customHeight="true" outlineLevel="0" collapsed="false">
      <c r="A55" s="7" t="s">
        <v>176</v>
      </c>
      <c r="B55" s="15"/>
      <c r="C55" s="41" t="s">
        <v>177</v>
      </c>
      <c r="D55" s="42" t="s">
        <v>178</v>
      </c>
      <c r="E55" s="42"/>
      <c r="F55" s="42"/>
      <c r="G55" s="42"/>
      <c r="H55" s="42"/>
    </row>
    <row r="56" customFormat="false" ht="15" hidden="false" customHeight="true" outlineLevel="0" collapsed="false">
      <c r="A56" s="7" t="s">
        <v>179</v>
      </c>
      <c r="B56" s="15"/>
      <c r="C56" s="41" t="s">
        <v>177</v>
      </c>
      <c r="D56" s="42" t="s">
        <v>180</v>
      </c>
      <c r="E56" s="42"/>
      <c r="F56" s="42"/>
      <c r="G56" s="42"/>
      <c r="H56" s="42"/>
    </row>
    <row r="57" customFormat="false" ht="15" hidden="false" customHeight="true" outlineLevel="0" collapsed="false">
      <c r="A57" s="7" t="s">
        <v>181</v>
      </c>
      <c r="B57" s="15"/>
      <c r="C57" s="41" t="s">
        <v>182</v>
      </c>
      <c r="D57" s="42" t="s">
        <v>183</v>
      </c>
      <c r="E57" s="42"/>
      <c r="F57" s="42"/>
      <c r="G57" s="42"/>
      <c r="H57" s="42"/>
    </row>
  </sheetData>
  <mergeCells count="26">
    <mergeCell ref="A1:H1"/>
    <mergeCell ref="A2:H2"/>
    <mergeCell ref="A4:H4"/>
    <mergeCell ref="A10:H10"/>
    <mergeCell ref="A16:H16"/>
    <mergeCell ref="A23:H23"/>
    <mergeCell ref="A32:G32"/>
    <mergeCell ref="A37:H37"/>
    <mergeCell ref="A41:B41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5" min="2" style="1" width="11"/>
  </cols>
  <sheetData>
    <row r="1" customFormat="false" ht="15" hidden="false" customHeight="true" outlineLevel="0" collapsed="false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15" t="s">
        <v>185</v>
      </c>
      <c r="B2" s="43" t="s">
        <v>186</v>
      </c>
      <c r="C2" s="43" t="s">
        <v>187</v>
      </c>
      <c r="D2" s="43" t="s">
        <v>188</v>
      </c>
      <c r="E2" s="43" t="s">
        <v>189</v>
      </c>
      <c r="F2" s="43" t="s">
        <v>190</v>
      </c>
      <c r="G2" s="43" t="s">
        <v>191</v>
      </c>
      <c r="H2" s="43" t="s">
        <v>192</v>
      </c>
      <c r="I2" s="43" t="s">
        <v>193</v>
      </c>
      <c r="J2" s="43" t="s">
        <v>194</v>
      </c>
      <c r="K2" s="43" t="s">
        <v>195</v>
      </c>
      <c r="L2" s="43" t="s">
        <v>196</v>
      </c>
      <c r="M2" s="43" t="s">
        <v>197</v>
      </c>
      <c r="N2" s="43" t="s">
        <v>198</v>
      </c>
      <c r="O2" s="43" t="s">
        <v>199</v>
      </c>
      <c r="P2" s="43" t="s">
        <v>200</v>
      </c>
      <c r="Q2" s="43" t="s">
        <v>201</v>
      </c>
      <c r="R2" s="43" t="s">
        <v>202</v>
      </c>
      <c r="S2" s="43" t="s">
        <v>203</v>
      </c>
      <c r="T2" s="43" t="s">
        <v>204</v>
      </c>
      <c r="U2" s="43" t="s">
        <v>205</v>
      </c>
      <c r="V2" s="43" t="s">
        <v>206</v>
      </c>
      <c r="W2" s="43" t="s">
        <v>207</v>
      </c>
      <c r="X2" s="43" t="s">
        <v>208</v>
      </c>
      <c r="Y2" s="43" t="s">
        <v>209</v>
      </c>
    </row>
    <row r="3" customFormat="false" ht="15" hidden="false" customHeight="true" outlineLevel="0" collapsed="false">
      <c r="A3" s="13" t="s">
        <v>90</v>
      </c>
      <c r="B3" s="13" t="s">
        <v>210</v>
      </c>
      <c r="C3" s="13" t="s">
        <v>211</v>
      </c>
      <c r="D3" s="13" t="s">
        <v>212</v>
      </c>
      <c r="E3" s="13" t="s">
        <v>213</v>
      </c>
      <c r="F3" s="13" t="s">
        <v>214</v>
      </c>
      <c r="G3" s="13" t="s">
        <v>215</v>
      </c>
      <c r="H3" s="13" t="s">
        <v>216</v>
      </c>
      <c r="I3" s="13" t="s">
        <v>217</v>
      </c>
      <c r="J3" s="13" t="s">
        <v>218</v>
      </c>
      <c r="K3" s="13" t="s">
        <v>219</v>
      </c>
      <c r="L3" s="13" t="s">
        <v>220</v>
      </c>
      <c r="M3" s="13" t="s">
        <v>221</v>
      </c>
      <c r="N3" s="13" t="s">
        <v>222</v>
      </c>
      <c r="O3" s="13" t="s">
        <v>223</v>
      </c>
      <c r="P3" s="13" t="s">
        <v>224</v>
      </c>
      <c r="Q3" s="13" t="s">
        <v>225</v>
      </c>
      <c r="R3" s="13" t="s">
        <v>226</v>
      </c>
      <c r="S3" s="13" t="s">
        <v>227</v>
      </c>
      <c r="T3" s="13" t="s">
        <v>228</v>
      </c>
      <c r="U3" s="13" t="s">
        <v>229</v>
      </c>
      <c r="V3" s="13" t="s">
        <v>230</v>
      </c>
      <c r="W3" s="13" t="s">
        <v>231</v>
      </c>
      <c r="X3" s="13" t="s">
        <v>232</v>
      </c>
      <c r="Y3" s="13" t="s">
        <v>233</v>
      </c>
    </row>
    <row r="4" customFormat="false" ht="15" hidden="false" customHeight="true" outlineLevel="0" collapsed="false">
      <c r="A4" s="6" t="s">
        <v>234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true" outlineLevel="0" collapsed="false">
      <c r="A5" s="7" t="s">
        <v>235</v>
      </c>
      <c r="B5" s="44" t="n">
        <v>20</v>
      </c>
      <c r="C5" s="44" t="n">
        <v>30</v>
      </c>
      <c r="D5" s="44" t="n">
        <v>40</v>
      </c>
      <c r="E5" s="44" t="n">
        <v>45</v>
      </c>
      <c r="F5" s="44" t="n">
        <v>50</v>
      </c>
      <c r="G5" s="44" t="n">
        <v>55</v>
      </c>
      <c r="H5" s="44" t="n">
        <v>55</v>
      </c>
      <c r="I5" s="44" t="n">
        <v>60</v>
      </c>
      <c r="J5" s="44" t="n">
        <v>55</v>
      </c>
      <c r="K5" s="44" t="n">
        <v>50</v>
      </c>
      <c r="L5" s="44" t="n">
        <v>45</v>
      </c>
      <c r="M5" s="44" t="n">
        <v>40</v>
      </c>
      <c r="N5" s="44" t="n">
        <v>55</v>
      </c>
      <c r="O5" s="44" t="n">
        <v>65</v>
      </c>
      <c r="P5" s="44" t="n">
        <v>75</v>
      </c>
      <c r="Q5" s="44" t="n">
        <v>85</v>
      </c>
      <c r="R5" s="44" t="n">
        <v>95</v>
      </c>
      <c r="S5" s="44" t="n">
        <v>105</v>
      </c>
      <c r="T5" s="44" t="n">
        <v>110</v>
      </c>
      <c r="U5" s="44" t="n">
        <v>115</v>
      </c>
      <c r="V5" s="44" t="n">
        <v>120</v>
      </c>
      <c r="W5" s="44" t="n">
        <v>125</v>
      </c>
      <c r="X5" s="44" t="n">
        <v>130</v>
      </c>
      <c r="Y5" s="44" t="n">
        <v>120</v>
      </c>
    </row>
    <row r="6" customFormat="false" ht="15" hidden="false" customHeight="true" outlineLevel="0" collapsed="false">
      <c r="A6" s="7" t="s">
        <v>236</v>
      </c>
      <c r="B6" s="44" t="n">
        <v>20</v>
      </c>
      <c r="C6" s="44" t="n">
        <v>50</v>
      </c>
      <c r="D6" s="44" t="n">
        <v>89</v>
      </c>
      <c r="E6" s="44" t="n">
        <v>133</v>
      </c>
      <c r="F6" s="44" t="n">
        <v>181</v>
      </c>
      <c r="G6" s="44" t="n">
        <v>234</v>
      </c>
      <c r="H6" s="44" t="n">
        <v>286</v>
      </c>
      <c r="I6" s="44" t="n">
        <v>342</v>
      </c>
      <c r="J6" s="44" t="n">
        <v>393</v>
      </c>
      <c r="K6" s="44" t="n">
        <v>438</v>
      </c>
      <c r="L6" s="44" t="n">
        <v>478</v>
      </c>
      <c r="M6" s="44" t="n">
        <v>512</v>
      </c>
      <c r="N6" s="44" t="n">
        <v>561</v>
      </c>
      <c r="O6" s="44" t="n">
        <v>619</v>
      </c>
      <c r="P6" s="44" t="n">
        <v>686</v>
      </c>
      <c r="Q6" s="44" t="n">
        <v>762</v>
      </c>
      <c r="R6" s="44" t="n">
        <v>847</v>
      </c>
      <c r="S6" s="44" t="n">
        <v>941</v>
      </c>
      <c r="T6" s="44" t="n">
        <v>1039</v>
      </c>
      <c r="U6" s="44" t="n">
        <v>1141</v>
      </c>
      <c r="V6" s="44" t="n">
        <v>1247</v>
      </c>
      <c r="W6" s="44" t="n">
        <v>1356</v>
      </c>
      <c r="X6" s="44" t="n">
        <v>1469</v>
      </c>
      <c r="Y6" s="44" t="n">
        <v>1571</v>
      </c>
    </row>
    <row r="7" customFormat="false" ht="15" hidden="false" customHeight="true" outlineLevel="0" collapsed="false">
      <c r="A7" s="7" t="s">
        <v>237</v>
      </c>
      <c r="B7" s="44" t="n">
        <v>0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  <c r="J7" s="44" t="n">
        <v>0</v>
      </c>
      <c r="K7" s="44" t="n">
        <v>0</v>
      </c>
      <c r="L7" s="44" t="n">
        <v>0</v>
      </c>
      <c r="M7" s="44" t="n">
        <v>0</v>
      </c>
      <c r="N7" s="44" t="n">
        <v>0</v>
      </c>
      <c r="O7" s="44" t="n">
        <v>0</v>
      </c>
      <c r="P7" s="44" t="n">
        <v>0</v>
      </c>
      <c r="Q7" s="44" t="n">
        <v>0</v>
      </c>
      <c r="R7" s="44" t="n">
        <v>0</v>
      </c>
      <c r="S7" s="44" t="n">
        <v>10</v>
      </c>
      <c r="T7" s="44" t="n">
        <v>25</v>
      </c>
      <c r="U7" s="44" t="n">
        <v>45</v>
      </c>
      <c r="V7" s="44" t="n">
        <v>69</v>
      </c>
      <c r="W7" s="44" t="n">
        <v>93</v>
      </c>
      <c r="X7" s="44" t="n">
        <v>117</v>
      </c>
      <c r="Y7" s="44" t="n">
        <v>146</v>
      </c>
    </row>
    <row r="8" customFormat="false" ht="15" hidden="false" customHeight="true" outlineLevel="0" collapsed="false">
      <c r="A8" s="7" t="s">
        <v>238</v>
      </c>
      <c r="B8" s="44" t="n">
        <v>0</v>
      </c>
      <c r="C8" s="44" t="n">
        <v>0</v>
      </c>
      <c r="D8" s="44" t="n">
        <v>0</v>
      </c>
      <c r="E8" s="44" t="n">
        <v>0</v>
      </c>
      <c r="F8" s="44" t="n">
        <v>0</v>
      </c>
      <c r="G8" s="44" t="n">
        <v>0</v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25</v>
      </c>
      <c r="Q8" s="44" t="n">
        <v>65</v>
      </c>
      <c r="R8" s="44" t="n">
        <v>124</v>
      </c>
      <c r="S8" s="44" t="n">
        <v>202</v>
      </c>
      <c r="T8" s="44" t="n">
        <v>299</v>
      </c>
      <c r="U8" s="44" t="n">
        <v>395</v>
      </c>
      <c r="V8" s="44" t="n">
        <v>490</v>
      </c>
      <c r="W8" s="44" t="n">
        <v>584</v>
      </c>
      <c r="X8" s="44" t="n">
        <v>677</v>
      </c>
      <c r="Y8" s="44" t="n">
        <v>779</v>
      </c>
    </row>
    <row r="10" customFormat="false" ht="15" hidden="false" customHeight="true" outlineLevel="0" collapsed="false">
      <c r="A10" s="6" t="s">
        <v>239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true" outlineLevel="0" collapsed="false">
      <c r="A11" s="7" t="s">
        <v>106</v>
      </c>
      <c r="B11" s="45" t="n">
        <v>0</v>
      </c>
      <c r="C11" s="45" t="n">
        <v>0</v>
      </c>
      <c r="D11" s="45" t="n">
        <v>0</v>
      </c>
      <c r="E11" s="45" t="n">
        <v>11638</v>
      </c>
      <c r="F11" s="45" t="n">
        <v>15838</v>
      </c>
      <c r="G11" s="45" t="n">
        <v>20475</v>
      </c>
      <c r="H11" s="45" t="n">
        <v>25025</v>
      </c>
      <c r="I11" s="45" t="n">
        <v>29925</v>
      </c>
      <c r="J11" s="45" t="n">
        <v>34388</v>
      </c>
      <c r="K11" s="45" t="n">
        <v>38325</v>
      </c>
      <c r="L11" s="45" t="n">
        <v>41825</v>
      </c>
      <c r="M11" s="45" t="n">
        <v>44800</v>
      </c>
      <c r="N11" s="45" t="n">
        <v>49088</v>
      </c>
      <c r="O11" s="45" t="n">
        <v>54162</v>
      </c>
      <c r="P11" s="45" t="n">
        <v>60025</v>
      </c>
      <c r="Q11" s="45" t="n">
        <v>66675</v>
      </c>
      <c r="R11" s="45" t="n">
        <v>74112</v>
      </c>
      <c r="S11" s="45" t="n">
        <v>82338</v>
      </c>
      <c r="T11" s="45" t="n">
        <v>90912</v>
      </c>
      <c r="U11" s="45" t="n">
        <v>99838</v>
      </c>
      <c r="V11" s="45" t="n">
        <v>109112</v>
      </c>
      <c r="W11" s="45" t="n">
        <v>118650</v>
      </c>
      <c r="X11" s="45" t="n">
        <v>128538</v>
      </c>
      <c r="Y11" s="45" t="n">
        <v>137462</v>
      </c>
    </row>
    <row r="12" customFormat="false" ht="15" hidden="false" customHeight="true" outlineLevel="0" collapsed="false">
      <c r="A12" s="7" t="s">
        <v>107</v>
      </c>
      <c r="B12" s="45" t="n">
        <v>0</v>
      </c>
      <c r="C12" s="45" t="n">
        <v>0</v>
      </c>
      <c r="D12" s="45" t="n">
        <v>0</v>
      </c>
      <c r="E12" s="45" t="n">
        <v>0</v>
      </c>
      <c r="F12" s="45" t="n">
        <v>0</v>
      </c>
      <c r="G12" s="45" t="n">
        <v>0</v>
      </c>
      <c r="H12" s="45" t="n">
        <v>0</v>
      </c>
      <c r="I12" s="45" t="n">
        <v>0</v>
      </c>
      <c r="J12" s="45" t="n">
        <v>0</v>
      </c>
      <c r="K12" s="45" t="n">
        <v>0</v>
      </c>
      <c r="L12" s="45" t="n">
        <v>0</v>
      </c>
      <c r="M12" s="45" t="n">
        <v>0</v>
      </c>
      <c r="N12" s="45" t="n">
        <v>0</v>
      </c>
      <c r="O12" s="45" t="n">
        <v>0</v>
      </c>
      <c r="P12" s="45" t="n">
        <v>0</v>
      </c>
      <c r="Q12" s="45" t="n">
        <v>0</v>
      </c>
      <c r="R12" s="45" t="n">
        <v>0</v>
      </c>
      <c r="S12" s="45" t="n">
        <v>2000</v>
      </c>
      <c r="T12" s="45" t="n">
        <v>5000</v>
      </c>
      <c r="U12" s="45" t="n">
        <v>9000</v>
      </c>
      <c r="V12" s="45" t="n">
        <v>13800</v>
      </c>
      <c r="W12" s="45" t="n">
        <v>18600</v>
      </c>
      <c r="X12" s="45" t="n">
        <v>23400</v>
      </c>
      <c r="Y12" s="45" t="n">
        <v>29200</v>
      </c>
    </row>
    <row r="13" customFormat="false" ht="15" hidden="false" customHeight="true" outlineLevel="0" collapsed="false">
      <c r="A13" s="7" t="s">
        <v>240</v>
      </c>
      <c r="B13" s="45" t="n">
        <v>0</v>
      </c>
      <c r="C13" s="45" t="n">
        <v>0</v>
      </c>
      <c r="D13" s="45" t="n">
        <v>0</v>
      </c>
      <c r="E13" s="45" t="n">
        <v>0</v>
      </c>
      <c r="F13" s="45" t="n">
        <v>0</v>
      </c>
      <c r="G13" s="45" t="n">
        <v>0</v>
      </c>
      <c r="H13" s="45" t="n">
        <v>0</v>
      </c>
      <c r="I13" s="45" t="n">
        <v>0</v>
      </c>
      <c r="J13" s="45" t="n">
        <v>0</v>
      </c>
      <c r="K13" s="45" t="n">
        <v>0</v>
      </c>
      <c r="L13" s="45" t="n">
        <v>0</v>
      </c>
      <c r="M13" s="45" t="n">
        <v>0</v>
      </c>
      <c r="N13" s="45" t="n">
        <v>0</v>
      </c>
      <c r="O13" s="45" t="n">
        <v>0</v>
      </c>
      <c r="P13" s="45" t="n">
        <v>2188</v>
      </c>
      <c r="Q13" s="45" t="n">
        <v>5688</v>
      </c>
      <c r="R13" s="45" t="n">
        <v>10850</v>
      </c>
      <c r="S13" s="45" t="n">
        <v>17675</v>
      </c>
      <c r="T13" s="45" t="n">
        <v>26162</v>
      </c>
      <c r="U13" s="45" t="n">
        <v>34562</v>
      </c>
      <c r="V13" s="45" t="n">
        <v>42875</v>
      </c>
      <c r="W13" s="45" t="n">
        <v>51100</v>
      </c>
      <c r="X13" s="45" t="n">
        <v>59238</v>
      </c>
      <c r="Y13" s="45" t="n">
        <v>68162</v>
      </c>
    </row>
    <row r="14" customFormat="false" ht="15" hidden="false" customHeight="true" outlineLevel="0" collapsed="false">
      <c r="A14" s="14" t="s">
        <v>109</v>
      </c>
      <c r="B14" s="46" t="n">
        <v>0</v>
      </c>
      <c r="C14" s="46" t="n">
        <v>0</v>
      </c>
      <c r="D14" s="46" t="n">
        <v>0</v>
      </c>
      <c r="E14" s="46" t="n">
        <v>11638</v>
      </c>
      <c r="F14" s="46" t="n">
        <v>15838</v>
      </c>
      <c r="G14" s="46" t="n">
        <v>20475</v>
      </c>
      <c r="H14" s="46" t="n">
        <v>25025</v>
      </c>
      <c r="I14" s="46" t="n">
        <v>29925</v>
      </c>
      <c r="J14" s="46" t="n">
        <v>34388</v>
      </c>
      <c r="K14" s="46" t="n">
        <v>38325</v>
      </c>
      <c r="L14" s="46" t="n">
        <v>41825</v>
      </c>
      <c r="M14" s="46" t="n">
        <v>44800</v>
      </c>
      <c r="N14" s="46" t="n">
        <v>49088</v>
      </c>
      <c r="O14" s="46" t="n">
        <v>54162</v>
      </c>
      <c r="P14" s="46" t="n">
        <v>62213</v>
      </c>
      <c r="Q14" s="46" t="n">
        <v>72363</v>
      </c>
      <c r="R14" s="46" t="n">
        <v>84962</v>
      </c>
      <c r="S14" s="46" t="n">
        <v>102013</v>
      </c>
      <c r="T14" s="46" t="n">
        <v>122074</v>
      </c>
      <c r="U14" s="46" t="n">
        <v>143400</v>
      </c>
      <c r="V14" s="46" t="n">
        <v>165787</v>
      </c>
      <c r="W14" s="46" t="n">
        <v>188350</v>
      </c>
      <c r="X14" s="46" t="n">
        <v>211176</v>
      </c>
      <c r="Y14" s="46" t="n">
        <v>234824</v>
      </c>
    </row>
    <row r="16" customFormat="false" ht="15" hidden="false" customHeight="true" outlineLevel="0" collapsed="false">
      <c r="A16" s="6" t="s">
        <v>241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true" outlineLevel="0" collapsed="false">
      <c r="A17" s="7" t="s">
        <v>111</v>
      </c>
      <c r="B17" s="45" t="n">
        <v>1200</v>
      </c>
      <c r="C17" s="45" t="n">
        <v>3000</v>
      </c>
      <c r="D17" s="45" t="n">
        <v>5340</v>
      </c>
      <c r="E17" s="45" t="n">
        <v>7980</v>
      </c>
      <c r="F17" s="45" t="n">
        <v>10860</v>
      </c>
      <c r="G17" s="45" t="n">
        <v>14040</v>
      </c>
      <c r="H17" s="45" t="n">
        <v>17160</v>
      </c>
      <c r="I17" s="45" t="n">
        <v>20520</v>
      </c>
      <c r="J17" s="45" t="n">
        <v>23580</v>
      </c>
      <c r="K17" s="45" t="n">
        <v>26280</v>
      </c>
      <c r="L17" s="45" t="n">
        <v>28680</v>
      </c>
      <c r="M17" s="45" t="n">
        <v>30720</v>
      </c>
      <c r="N17" s="45" t="n">
        <v>33660</v>
      </c>
      <c r="O17" s="45" t="n">
        <v>37140</v>
      </c>
      <c r="P17" s="45" t="n">
        <v>41160</v>
      </c>
      <c r="Q17" s="45" t="n">
        <v>45720</v>
      </c>
      <c r="R17" s="45" t="n">
        <v>50820</v>
      </c>
      <c r="S17" s="45" t="n">
        <v>57060</v>
      </c>
      <c r="T17" s="45" t="n">
        <v>63840</v>
      </c>
      <c r="U17" s="45" t="n">
        <v>71160</v>
      </c>
      <c r="V17" s="45" t="n">
        <v>78960</v>
      </c>
      <c r="W17" s="45" t="n">
        <v>86940</v>
      </c>
      <c r="X17" s="45" t="n">
        <v>95160</v>
      </c>
      <c r="Y17" s="45" t="n">
        <v>103020</v>
      </c>
    </row>
    <row r="18" customFormat="false" ht="15" hidden="false" customHeight="true" outlineLevel="0" collapsed="false">
      <c r="A18" s="7" t="s">
        <v>242</v>
      </c>
      <c r="B18" s="45" t="n">
        <v>0</v>
      </c>
      <c r="C18" s="45" t="n">
        <v>0</v>
      </c>
      <c r="D18" s="45" t="n">
        <v>0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5" t="n">
        <v>0</v>
      </c>
      <c r="K18" s="45" t="n">
        <v>0</v>
      </c>
      <c r="L18" s="45" t="n">
        <v>0</v>
      </c>
      <c r="M18" s="45" t="n">
        <v>0</v>
      </c>
      <c r="N18" s="45" t="n">
        <v>0</v>
      </c>
      <c r="O18" s="45" t="n">
        <v>0</v>
      </c>
      <c r="P18" s="45" t="n">
        <v>0</v>
      </c>
      <c r="Q18" s="45" t="n">
        <v>0</v>
      </c>
      <c r="R18" s="45" t="n">
        <v>0</v>
      </c>
      <c r="S18" s="45" t="n">
        <v>1000</v>
      </c>
      <c r="T18" s="45" t="n">
        <v>2500</v>
      </c>
      <c r="U18" s="45" t="n">
        <v>4500</v>
      </c>
      <c r="V18" s="45" t="n">
        <v>6900</v>
      </c>
      <c r="W18" s="45" t="n">
        <v>9300</v>
      </c>
      <c r="X18" s="45" t="n">
        <v>11700</v>
      </c>
      <c r="Y18" s="45" t="n">
        <v>14600</v>
      </c>
    </row>
    <row r="19" customFormat="false" ht="15" hidden="false" customHeight="true" outlineLevel="0" collapsed="false">
      <c r="A19" s="14" t="s">
        <v>113</v>
      </c>
      <c r="B19" s="46" t="n">
        <v>1200</v>
      </c>
      <c r="C19" s="46" t="n">
        <v>3000</v>
      </c>
      <c r="D19" s="46" t="n">
        <v>5340</v>
      </c>
      <c r="E19" s="46" t="n">
        <v>7980</v>
      </c>
      <c r="F19" s="46" t="n">
        <v>10860</v>
      </c>
      <c r="G19" s="46" t="n">
        <v>14040</v>
      </c>
      <c r="H19" s="46" t="n">
        <v>17160</v>
      </c>
      <c r="I19" s="46" t="n">
        <v>20520</v>
      </c>
      <c r="J19" s="46" t="n">
        <v>23580</v>
      </c>
      <c r="K19" s="46" t="n">
        <v>26280</v>
      </c>
      <c r="L19" s="46" t="n">
        <v>28680</v>
      </c>
      <c r="M19" s="46" t="n">
        <v>30720</v>
      </c>
      <c r="N19" s="46" t="n">
        <v>33660</v>
      </c>
      <c r="O19" s="46" t="n">
        <v>37140</v>
      </c>
      <c r="P19" s="46" t="n">
        <v>41160</v>
      </c>
      <c r="Q19" s="46" t="n">
        <v>45720</v>
      </c>
      <c r="R19" s="46" t="n">
        <v>50820</v>
      </c>
      <c r="S19" s="46" t="n">
        <v>58060</v>
      </c>
      <c r="T19" s="46" t="n">
        <v>66340</v>
      </c>
      <c r="U19" s="46" t="n">
        <v>75660</v>
      </c>
      <c r="V19" s="46" t="n">
        <v>85860</v>
      </c>
      <c r="W19" s="46" t="n">
        <v>96240</v>
      </c>
      <c r="X19" s="46" t="n">
        <v>106860</v>
      </c>
      <c r="Y19" s="46" t="n">
        <v>117620</v>
      </c>
    </row>
    <row r="20" customFormat="false" ht="15" hidden="false" customHeight="true" outlineLevel="0" collapsed="false">
      <c r="A20" s="14" t="s">
        <v>114</v>
      </c>
      <c r="B20" s="46" t="n">
        <v>-1200</v>
      </c>
      <c r="C20" s="46" t="n">
        <v>-3000</v>
      </c>
      <c r="D20" s="46" t="n">
        <v>-5340</v>
      </c>
      <c r="E20" s="46" t="n">
        <v>3658</v>
      </c>
      <c r="F20" s="46" t="n">
        <v>4978</v>
      </c>
      <c r="G20" s="46" t="n">
        <v>6435</v>
      </c>
      <c r="H20" s="46" t="n">
        <v>7865</v>
      </c>
      <c r="I20" s="46" t="n">
        <v>9405</v>
      </c>
      <c r="J20" s="46" t="n">
        <v>10808</v>
      </c>
      <c r="K20" s="46" t="n">
        <v>12045</v>
      </c>
      <c r="L20" s="46" t="n">
        <v>13145</v>
      </c>
      <c r="M20" s="46" t="n">
        <v>14080</v>
      </c>
      <c r="N20" s="46" t="n">
        <v>15428</v>
      </c>
      <c r="O20" s="46" t="n">
        <v>17022</v>
      </c>
      <c r="P20" s="46" t="n">
        <v>21053</v>
      </c>
      <c r="Q20" s="46" t="n">
        <v>26643</v>
      </c>
      <c r="R20" s="46" t="n">
        <v>34142</v>
      </c>
      <c r="S20" s="46" t="n">
        <v>43953</v>
      </c>
      <c r="T20" s="46" t="n">
        <v>55734</v>
      </c>
      <c r="U20" s="46" t="n">
        <v>67740</v>
      </c>
      <c r="V20" s="46" t="n">
        <v>79927</v>
      </c>
      <c r="W20" s="46" t="n">
        <v>92110</v>
      </c>
      <c r="X20" s="46" t="n">
        <v>104316</v>
      </c>
      <c r="Y20" s="46" t="n">
        <v>117204</v>
      </c>
    </row>
    <row r="22" customFormat="false" ht="15" hidden="false" customHeight="true" outlineLevel="0" collapsed="false">
      <c r="A22" s="6" t="s">
        <v>243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true" outlineLevel="0" collapsed="false">
      <c r="A23" s="7" t="s">
        <v>244</v>
      </c>
      <c r="B23" s="45" t="n">
        <v>27000</v>
      </c>
      <c r="C23" s="45" t="n">
        <v>27000</v>
      </c>
      <c r="D23" s="45" t="n">
        <v>27000</v>
      </c>
      <c r="E23" s="45" t="n">
        <v>27000</v>
      </c>
      <c r="F23" s="45" t="n">
        <v>27000</v>
      </c>
      <c r="G23" s="45" t="n">
        <v>27000</v>
      </c>
      <c r="H23" s="45" t="n">
        <v>27000</v>
      </c>
      <c r="I23" s="45" t="n">
        <v>27000</v>
      </c>
      <c r="J23" s="45" t="n">
        <v>27000</v>
      </c>
      <c r="K23" s="45" t="n">
        <v>27000</v>
      </c>
      <c r="L23" s="45" t="n">
        <v>27000</v>
      </c>
      <c r="M23" s="45" t="n">
        <v>27000</v>
      </c>
      <c r="N23" s="45" t="n">
        <v>60000</v>
      </c>
      <c r="O23" s="45" t="n">
        <v>62727</v>
      </c>
      <c r="P23" s="45" t="n">
        <v>65455</v>
      </c>
      <c r="Q23" s="45" t="n">
        <v>68182</v>
      </c>
      <c r="R23" s="45" t="n">
        <v>70909</v>
      </c>
      <c r="S23" s="45" t="n">
        <v>73636</v>
      </c>
      <c r="T23" s="45" t="n">
        <v>76364</v>
      </c>
      <c r="U23" s="45" t="n">
        <v>79091</v>
      </c>
      <c r="V23" s="45" t="n">
        <v>81818</v>
      </c>
      <c r="W23" s="45" t="n">
        <v>84545</v>
      </c>
      <c r="X23" s="45" t="n">
        <v>87273</v>
      </c>
      <c r="Y23" s="45" t="n">
        <v>90000</v>
      </c>
    </row>
    <row r="25" customFormat="false" ht="15" hidden="false" customHeight="true" outlineLevel="0" collapsed="false">
      <c r="A25" s="14" t="s">
        <v>123</v>
      </c>
      <c r="B25" s="47" t="n">
        <v>-28200</v>
      </c>
      <c r="C25" s="47" t="n">
        <v>-30000</v>
      </c>
      <c r="D25" s="47" t="n">
        <v>-32340</v>
      </c>
      <c r="E25" s="47" t="n">
        <v>-23342</v>
      </c>
      <c r="F25" s="47" t="n">
        <v>-22022</v>
      </c>
      <c r="G25" s="47" t="n">
        <v>-20565</v>
      </c>
      <c r="H25" s="47" t="n">
        <v>-19135</v>
      </c>
      <c r="I25" s="47" t="n">
        <v>-17595</v>
      </c>
      <c r="J25" s="47" t="n">
        <v>-16192</v>
      </c>
      <c r="K25" s="47" t="n">
        <v>-14955</v>
      </c>
      <c r="L25" s="47" t="n">
        <v>-13855</v>
      </c>
      <c r="M25" s="47" t="n">
        <v>-12920</v>
      </c>
      <c r="N25" s="47" t="n">
        <v>-44572</v>
      </c>
      <c r="O25" s="47" t="n">
        <v>-45705</v>
      </c>
      <c r="P25" s="47" t="n">
        <v>-44402</v>
      </c>
      <c r="Q25" s="47" t="n">
        <v>-41539</v>
      </c>
      <c r="R25" s="47" t="n">
        <v>-36767</v>
      </c>
      <c r="S25" s="47" t="n">
        <v>-29683</v>
      </c>
      <c r="T25" s="47" t="n">
        <v>-20630</v>
      </c>
      <c r="U25" s="47" t="n">
        <v>-11351</v>
      </c>
      <c r="V25" s="47" t="n">
        <v>-1891</v>
      </c>
      <c r="W25" s="48" t="n">
        <v>7565</v>
      </c>
      <c r="X25" s="48" t="n">
        <v>17043</v>
      </c>
      <c r="Y25" s="48" t="n">
        <v>27204</v>
      </c>
    </row>
    <row r="27" customFormat="false" ht="15" hidden="false" customHeight="true" outlineLevel="0" collapsed="false">
      <c r="A27" s="6" t="s">
        <v>245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true" outlineLevel="0" collapsed="false">
      <c r="A28" s="7" t="s">
        <v>246</v>
      </c>
      <c r="B28" s="49" t="n">
        <v>721800</v>
      </c>
      <c r="C28" s="49" t="n">
        <v>691800</v>
      </c>
      <c r="D28" s="49" t="n">
        <v>659460</v>
      </c>
      <c r="E28" s="49" t="n">
        <v>636118</v>
      </c>
      <c r="F28" s="49" t="n">
        <v>614096</v>
      </c>
      <c r="G28" s="49" t="n">
        <v>593531</v>
      </c>
      <c r="H28" s="49" t="n">
        <v>574396</v>
      </c>
      <c r="I28" s="49" t="n">
        <v>556801</v>
      </c>
      <c r="J28" s="49" t="n">
        <v>540609</v>
      </c>
      <c r="K28" s="49" t="n">
        <v>525654</v>
      </c>
      <c r="L28" s="49" t="n">
        <v>511799</v>
      </c>
      <c r="M28" s="49" t="n">
        <v>498879</v>
      </c>
      <c r="N28" s="49" t="n">
        <v>454307</v>
      </c>
      <c r="O28" s="49" t="n">
        <v>408602</v>
      </c>
      <c r="P28" s="49" t="n">
        <v>364200</v>
      </c>
      <c r="Q28" s="49" t="n">
        <v>322661</v>
      </c>
      <c r="R28" s="49" t="n">
        <v>285894</v>
      </c>
      <c r="S28" s="49" t="n">
        <v>256211</v>
      </c>
      <c r="T28" s="49" t="n">
        <v>235581</v>
      </c>
      <c r="U28" s="49" t="n">
        <v>224230</v>
      </c>
      <c r="V28" s="49" t="n">
        <v>222339</v>
      </c>
      <c r="W28" s="49" t="n">
        <v>229904</v>
      </c>
      <c r="X28" s="49" t="n">
        <v>246947</v>
      </c>
      <c r="Y28" s="49" t="n">
        <v>274151</v>
      </c>
    </row>
    <row r="29" customFormat="false" ht="15" hidden="false" customHeight="true" outlineLevel="0" collapsed="false">
      <c r="A29" s="7" t="s">
        <v>247</v>
      </c>
      <c r="B29" s="45" t="n">
        <v>1998800</v>
      </c>
      <c r="C29" s="45" t="n">
        <v>1995800</v>
      </c>
      <c r="D29" s="45" t="n">
        <v>1990460</v>
      </c>
      <c r="E29" s="45" t="n">
        <v>1982480</v>
      </c>
      <c r="F29" s="45" t="n">
        <v>1971620</v>
      </c>
      <c r="G29" s="45" t="n">
        <v>1957580</v>
      </c>
      <c r="H29" s="45" t="n">
        <v>1940420</v>
      </c>
      <c r="I29" s="45" t="n">
        <v>1919900</v>
      </c>
      <c r="J29" s="45" t="n">
        <v>1896320</v>
      </c>
      <c r="K29" s="45" t="n">
        <v>1870040</v>
      </c>
      <c r="L29" s="45" t="n">
        <v>1841360</v>
      </c>
      <c r="M29" s="45" t="n">
        <v>1810640</v>
      </c>
      <c r="N29" s="45" t="n">
        <v>1776980</v>
      </c>
      <c r="O29" s="45" t="n">
        <v>1739840</v>
      </c>
      <c r="P29" s="45" t="n">
        <v>1698680</v>
      </c>
      <c r="Q29" s="45" t="n">
        <v>1652960</v>
      </c>
      <c r="R29" s="45" t="n">
        <v>1602140</v>
      </c>
      <c r="S29" s="45" t="n">
        <v>1545080</v>
      </c>
      <c r="T29" s="45" t="n">
        <v>1481240</v>
      </c>
      <c r="U29" s="45" t="n">
        <v>1410080</v>
      </c>
      <c r="V29" s="45" t="n">
        <v>1331120</v>
      </c>
      <c r="W29" s="45" t="n">
        <v>1244180</v>
      </c>
      <c r="X29" s="45" t="n">
        <v>1149020</v>
      </c>
      <c r="Y29" s="45" t="n">
        <v>1046000</v>
      </c>
    </row>
    <row r="31" customFormat="false" ht="36" hidden="false" customHeight="true" outlineLevel="0" collapsed="false">
      <c r="A31" s="14" t="s">
        <v>248</v>
      </c>
      <c r="B31" s="50" t="s">
        <v>249</v>
      </c>
      <c r="E31" s="50" t="s">
        <v>250</v>
      </c>
      <c r="G31" s="50" t="s">
        <v>251</v>
      </c>
      <c r="M31" s="50" t="s">
        <v>252</v>
      </c>
      <c r="P31" s="50" t="s">
        <v>253</v>
      </c>
      <c r="R31" s="50" t="s">
        <v>254</v>
      </c>
      <c r="S31" s="50" t="s">
        <v>255</v>
      </c>
      <c r="U31" s="50" t="s">
        <v>256</v>
      </c>
    </row>
  </sheetData>
  <mergeCells count="6">
    <mergeCell ref="A1:Z1"/>
    <mergeCell ref="A4:Z4"/>
    <mergeCell ref="A10:Z10"/>
    <mergeCell ref="A16:Z16"/>
    <mergeCell ref="A22:Z22"/>
    <mergeCell ref="A27:Z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35"/>
  </cols>
  <sheetData>
    <row r="1" customFormat="false" ht="15" hidden="false" customHeight="true" outlineLevel="0" collapsed="false">
      <c r="A1" s="2" t="s">
        <v>257</v>
      </c>
      <c r="B1" s="2"/>
      <c r="C1" s="2"/>
      <c r="D1" s="2"/>
    </row>
    <row r="2" customFormat="false" ht="15" hidden="false" customHeight="true" outlineLevel="0" collapsed="false">
      <c r="A2" s="51" t="s">
        <v>258</v>
      </c>
      <c r="B2" s="51"/>
      <c r="C2" s="51"/>
      <c r="D2" s="51"/>
    </row>
    <row r="4" customFormat="false" ht="23.25" hidden="false" customHeight="true" outlineLevel="0" collapsed="false">
      <c r="A4" s="13" t="s">
        <v>259</v>
      </c>
      <c r="B4" s="13" t="s">
        <v>260</v>
      </c>
      <c r="C4" s="52" t="s">
        <v>261</v>
      </c>
      <c r="D4" s="52" t="s">
        <v>42</v>
      </c>
    </row>
    <row r="5" customFormat="false" ht="15" hidden="false" customHeight="true" outlineLevel="0" collapsed="false">
      <c r="A5" s="6" t="s">
        <v>262</v>
      </c>
      <c r="B5" s="6"/>
      <c r="C5" s="6"/>
      <c r="D5" s="6"/>
    </row>
    <row r="6" customFormat="false" ht="15" hidden="false" customHeight="true" outlineLevel="0" collapsed="false">
      <c r="A6" s="7" t="s">
        <v>263</v>
      </c>
      <c r="B6" s="53" t="s">
        <v>264</v>
      </c>
      <c r="C6" s="54" t="s">
        <v>265</v>
      </c>
      <c r="D6" s="54" t="s">
        <v>266</v>
      </c>
    </row>
    <row r="7" customFormat="false" ht="15" hidden="false" customHeight="true" outlineLevel="0" collapsed="false">
      <c r="A7" s="7" t="s">
        <v>267</v>
      </c>
      <c r="B7" s="53" t="s">
        <v>268</v>
      </c>
      <c r="C7" s="54" t="s">
        <v>269</v>
      </c>
      <c r="D7" s="54" t="s">
        <v>270</v>
      </c>
    </row>
    <row r="8" customFormat="false" ht="15" hidden="false" customHeight="true" outlineLevel="0" collapsed="false">
      <c r="A8" s="7" t="s">
        <v>271</v>
      </c>
      <c r="B8" s="53" t="s">
        <v>272</v>
      </c>
      <c r="C8" s="54" t="s">
        <v>273</v>
      </c>
      <c r="D8" s="54" t="s">
        <v>274</v>
      </c>
    </row>
    <row r="9" customFormat="false" ht="15" hidden="false" customHeight="true" outlineLevel="0" collapsed="false">
      <c r="A9" s="7" t="s">
        <v>275</v>
      </c>
      <c r="B9" s="53" t="s">
        <v>276</v>
      </c>
      <c r="C9" s="54" t="s">
        <v>277</v>
      </c>
      <c r="D9" s="54" t="s">
        <v>278</v>
      </c>
    </row>
    <row r="11" customFormat="false" ht="15" hidden="false" customHeight="true" outlineLevel="0" collapsed="false">
      <c r="A11" s="6" t="s">
        <v>279</v>
      </c>
      <c r="B11" s="6"/>
      <c r="C11" s="6"/>
      <c r="D11" s="6"/>
    </row>
    <row r="12" customFormat="false" ht="15" hidden="false" customHeight="true" outlineLevel="0" collapsed="false">
      <c r="A12" s="7" t="s">
        <v>280</v>
      </c>
      <c r="B12" s="53" t="s">
        <v>281</v>
      </c>
      <c r="C12" s="54" t="s">
        <v>282</v>
      </c>
      <c r="D12" s="54" t="s">
        <v>283</v>
      </c>
    </row>
    <row r="13" customFormat="false" ht="15" hidden="false" customHeight="true" outlineLevel="0" collapsed="false">
      <c r="A13" s="7" t="s">
        <v>284</v>
      </c>
      <c r="B13" s="53" t="s">
        <v>285</v>
      </c>
      <c r="C13" s="54" t="s">
        <v>286</v>
      </c>
      <c r="D13" s="54" t="s">
        <v>287</v>
      </c>
    </row>
    <row r="14" customFormat="false" ht="15" hidden="false" customHeight="true" outlineLevel="0" collapsed="false">
      <c r="A14" s="7" t="s">
        <v>288</v>
      </c>
      <c r="B14" s="53" t="s">
        <v>289</v>
      </c>
      <c r="C14" s="54" t="s">
        <v>290</v>
      </c>
      <c r="D14" s="54" t="s">
        <v>291</v>
      </c>
    </row>
    <row r="15" customFormat="false" ht="15" hidden="false" customHeight="true" outlineLevel="0" collapsed="false">
      <c r="A15" s="7" t="s">
        <v>292</v>
      </c>
      <c r="B15" s="53" t="s">
        <v>293</v>
      </c>
      <c r="C15" s="54" t="s">
        <v>294</v>
      </c>
      <c r="D15" s="54" t="s">
        <v>295</v>
      </c>
    </row>
    <row r="16" customFormat="false" ht="15" hidden="false" customHeight="true" outlineLevel="0" collapsed="false">
      <c r="A16" s="7" t="s">
        <v>296</v>
      </c>
      <c r="B16" s="53" t="s">
        <v>297</v>
      </c>
      <c r="C16" s="54" t="s">
        <v>298</v>
      </c>
      <c r="D16" s="54" t="s">
        <v>299</v>
      </c>
    </row>
    <row r="18" customFormat="false" ht="15" hidden="false" customHeight="true" outlineLevel="0" collapsed="false">
      <c r="A18" s="6" t="s">
        <v>300</v>
      </c>
      <c r="B18" s="6"/>
      <c r="C18" s="6"/>
      <c r="D18" s="6"/>
    </row>
    <row r="19" customFormat="false" ht="15" hidden="false" customHeight="true" outlineLevel="0" collapsed="false">
      <c r="A19" s="7" t="s">
        <v>301</v>
      </c>
      <c r="B19" s="55" t="s">
        <v>276</v>
      </c>
      <c r="C19" s="54" t="s">
        <v>302</v>
      </c>
      <c r="D19" s="15"/>
    </row>
    <row r="20" customFormat="false" ht="15" hidden="false" customHeight="true" outlineLevel="0" collapsed="false">
      <c r="A20" s="7" t="s">
        <v>303</v>
      </c>
      <c r="B20" s="56" t="s">
        <v>304</v>
      </c>
      <c r="C20" s="54" t="s">
        <v>305</v>
      </c>
      <c r="D20" s="54" t="s">
        <v>306</v>
      </c>
    </row>
    <row r="21" customFormat="false" ht="15" hidden="false" customHeight="true" outlineLevel="0" collapsed="false">
      <c r="A21" s="7" t="s">
        <v>307</v>
      </c>
      <c r="B21" s="55" t="s">
        <v>308</v>
      </c>
      <c r="C21" s="54" t="s">
        <v>309</v>
      </c>
      <c r="D21" s="54" t="s">
        <v>310</v>
      </c>
    </row>
    <row r="22" customFormat="false" ht="15" hidden="false" customHeight="true" outlineLevel="0" collapsed="false">
      <c r="A22" s="7" t="s">
        <v>311</v>
      </c>
      <c r="B22" s="55" t="s">
        <v>312</v>
      </c>
      <c r="C22" s="54" t="s">
        <v>313</v>
      </c>
      <c r="D22" s="54" t="s">
        <v>314</v>
      </c>
    </row>
    <row r="23" customFormat="false" ht="15" hidden="false" customHeight="true" outlineLevel="0" collapsed="false">
      <c r="A23" s="34" t="s">
        <v>315</v>
      </c>
      <c r="B23" s="55" t="s">
        <v>316</v>
      </c>
      <c r="C23" s="54" t="s">
        <v>317</v>
      </c>
      <c r="D23" s="54" t="s">
        <v>318</v>
      </c>
    </row>
    <row r="24" customFormat="false" ht="15" hidden="false" customHeight="true" outlineLevel="0" collapsed="false">
      <c r="A24" s="34" t="s">
        <v>319</v>
      </c>
      <c r="B24" s="55" t="s">
        <v>320</v>
      </c>
      <c r="C24" s="54" t="s">
        <v>321</v>
      </c>
      <c r="D24" s="54" t="s">
        <v>322</v>
      </c>
    </row>
    <row r="25" customFormat="false" ht="15" hidden="false" customHeight="true" outlineLevel="0" collapsed="false">
      <c r="A25" s="7" t="s">
        <v>323</v>
      </c>
      <c r="B25" s="55" t="s">
        <v>324</v>
      </c>
      <c r="C25" s="54" t="s">
        <v>325</v>
      </c>
      <c r="D25" s="54" t="s">
        <v>326</v>
      </c>
    </row>
    <row r="26" customFormat="false" ht="15" hidden="false" customHeight="true" outlineLevel="0" collapsed="false">
      <c r="A26" s="34" t="s">
        <v>327</v>
      </c>
      <c r="B26" s="55" t="s">
        <v>328</v>
      </c>
      <c r="C26" s="54" t="s">
        <v>329</v>
      </c>
      <c r="D26" s="54" t="s">
        <v>330</v>
      </c>
    </row>
    <row r="28" customFormat="false" ht="15" hidden="false" customHeight="true" outlineLevel="0" collapsed="false">
      <c r="A28" s="6" t="s">
        <v>331</v>
      </c>
      <c r="B28" s="6"/>
      <c r="C28" s="6"/>
      <c r="D28" s="6"/>
    </row>
    <row r="29" customFormat="false" ht="15" hidden="false" customHeight="true" outlineLevel="0" collapsed="false">
      <c r="A29" s="7" t="s">
        <v>332</v>
      </c>
      <c r="B29" s="57" t="s">
        <v>333</v>
      </c>
      <c r="C29" s="54" t="s">
        <v>265</v>
      </c>
      <c r="D29" s="54" t="s">
        <v>334</v>
      </c>
    </row>
    <row r="30" customFormat="false" ht="15" hidden="false" customHeight="true" outlineLevel="0" collapsed="false">
      <c r="A30" s="7" t="s">
        <v>335</v>
      </c>
      <c r="B30" s="57" t="s">
        <v>336</v>
      </c>
      <c r="C30" s="54" t="s">
        <v>337</v>
      </c>
      <c r="D30" s="54" t="s">
        <v>338</v>
      </c>
    </row>
    <row r="31" customFormat="false" ht="15" hidden="false" customHeight="true" outlineLevel="0" collapsed="false">
      <c r="A31" s="7" t="s">
        <v>339</v>
      </c>
      <c r="B31" s="57" t="s">
        <v>336</v>
      </c>
      <c r="C31" s="54" t="s">
        <v>340</v>
      </c>
      <c r="D31" s="54" t="s">
        <v>341</v>
      </c>
    </row>
    <row r="32" customFormat="false" ht="15" hidden="false" customHeight="true" outlineLevel="0" collapsed="false">
      <c r="A32" s="7" t="s">
        <v>342</v>
      </c>
      <c r="B32" s="57" t="s">
        <v>343</v>
      </c>
      <c r="C32" s="54" t="s">
        <v>344</v>
      </c>
      <c r="D32" s="15"/>
    </row>
    <row r="33" customFormat="false" ht="15" hidden="false" customHeight="true" outlineLevel="0" collapsed="false">
      <c r="A33" s="7" t="s">
        <v>345</v>
      </c>
      <c r="B33" s="58" t="s">
        <v>346</v>
      </c>
      <c r="C33" s="54" t="s">
        <v>347</v>
      </c>
      <c r="D33" s="54" t="s">
        <v>348</v>
      </c>
    </row>
    <row r="34" customFormat="false" ht="15" hidden="false" customHeight="true" outlineLevel="0" collapsed="false">
      <c r="A34" s="7" t="s">
        <v>349</v>
      </c>
      <c r="B34" s="57" t="s">
        <v>350</v>
      </c>
      <c r="C34" s="54" t="s">
        <v>351</v>
      </c>
      <c r="D34" s="54" t="s">
        <v>352</v>
      </c>
    </row>
    <row r="35" customFormat="false" ht="15" hidden="false" customHeight="true" outlineLevel="0" collapsed="false">
      <c r="A35" s="7" t="s">
        <v>353</v>
      </c>
      <c r="B35" s="57" t="s">
        <v>354</v>
      </c>
      <c r="C35" s="54" t="s">
        <v>355</v>
      </c>
      <c r="D35" s="54" t="s">
        <v>356</v>
      </c>
    </row>
    <row r="37" customFormat="false" ht="15" hidden="false" customHeight="true" outlineLevel="0" collapsed="false">
      <c r="A37" s="6" t="s">
        <v>357</v>
      </c>
      <c r="B37" s="6"/>
      <c r="C37" s="6"/>
      <c r="D37" s="6"/>
    </row>
    <row r="38" customFormat="false" ht="15" hidden="false" customHeight="true" outlineLevel="0" collapsed="false">
      <c r="A38" s="13" t="s">
        <v>358</v>
      </c>
      <c r="B38" s="13" t="s">
        <v>359</v>
      </c>
      <c r="C38" s="52" t="s">
        <v>360</v>
      </c>
      <c r="D38" s="52" t="s">
        <v>42</v>
      </c>
    </row>
    <row r="39" customFormat="false" ht="15" hidden="false" customHeight="true" outlineLevel="0" collapsed="false">
      <c r="A39" s="7" t="s">
        <v>361</v>
      </c>
      <c r="B39" s="55" t="s">
        <v>362</v>
      </c>
      <c r="C39" s="54" t="s">
        <v>363</v>
      </c>
      <c r="D39" s="54" t="s">
        <v>364</v>
      </c>
    </row>
    <row r="40" customFormat="false" ht="15" hidden="false" customHeight="true" outlineLevel="0" collapsed="false">
      <c r="A40" s="7" t="s">
        <v>365</v>
      </c>
      <c r="B40" s="55" t="s">
        <v>362</v>
      </c>
      <c r="C40" s="54" t="s">
        <v>366</v>
      </c>
      <c r="D40" s="54" t="s">
        <v>367</v>
      </c>
    </row>
    <row r="41" customFormat="false" ht="15" hidden="false" customHeight="true" outlineLevel="0" collapsed="false">
      <c r="A41" s="34" t="s">
        <v>368</v>
      </c>
      <c r="B41" s="55" t="s">
        <v>369</v>
      </c>
      <c r="C41" s="54" t="s">
        <v>366</v>
      </c>
      <c r="D41" s="54" t="s">
        <v>370</v>
      </c>
    </row>
    <row r="42" customFormat="false" ht="15" hidden="false" customHeight="true" outlineLevel="0" collapsed="false">
      <c r="A42" s="7" t="s">
        <v>371</v>
      </c>
      <c r="B42" s="55" t="s">
        <v>372</v>
      </c>
      <c r="C42" s="54" t="s">
        <v>373</v>
      </c>
      <c r="D42" s="54" t="s">
        <v>374</v>
      </c>
    </row>
    <row r="43" customFormat="false" ht="15" hidden="false" customHeight="true" outlineLevel="0" collapsed="false">
      <c r="A43" s="34" t="s">
        <v>375</v>
      </c>
      <c r="B43" s="55" t="s">
        <v>376</v>
      </c>
      <c r="C43" s="54" t="s">
        <v>373</v>
      </c>
      <c r="D43" s="54" t="s">
        <v>377</v>
      </c>
    </row>
    <row r="45" customFormat="false" ht="15" hidden="false" customHeight="true" outlineLevel="0" collapsed="false">
      <c r="A45" s="6" t="s">
        <v>378</v>
      </c>
      <c r="B45" s="6"/>
      <c r="C45" s="6"/>
      <c r="D45" s="6"/>
    </row>
    <row r="46" customFormat="false" ht="15" hidden="false" customHeight="true" outlineLevel="0" collapsed="false">
      <c r="A46" s="7" t="s">
        <v>379</v>
      </c>
      <c r="B46" s="53" t="s">
        <v>380</v>
      </c>
      <c r="C46" s="54" t="s">
        <v>381</v>
      </c>
      <c r="D46" s="54" t="s">
        <v>382</v>
      </c>
    </row>
    <row r="47" customFormat="false" ht="15" hidden="false" customHeight="true" outlineLevel="0" collapsed="false">
      <c r="A47" s="7" t="s">
        <v>383</v>
      </c>
      <c r="B47" s="53" t="s">
        <v>324</v>
      </c>
      <c r="C47" s="54" t="s">
        <v>325</v>
      </c>
      <c r="D47" s="54" t="s">
        <v>384</v>
      </c>
    </row>
    <row r="48" customFormat="false" ht="15" hidden="false" customHeight="true" outlineLevel="0" collapsed="false">
      <c r="A48" s="34" t="s">
        <v>385</v>
      </c>
      <c r="B48" s="59" t="s">
        <v>328</v>
      </c>
      <c r="C48" s="54" t="s">
        <v>386</v>
      </c>
      <c r="D48" s="54" t="s">
        <v>387</v>
      </c>
    </row>
    <row r="49" customFormat="false" ht="15" hidden="false" customHeight="true" outlineLevel="0" collapsed="false">
      <c r="A49" s="7" t="s">
        <v>388</v>
      </c>
      <c r="B49" s="53" t="s">
        <v>389</v>
      </c>
      <c r="C49" s="54" t="s">
        <v>390</v>
      </c>
      <c r="D49" s="54" t="s">
        <v>391</v>
      </c>
    </row>
    <row r="50" customFormat="false" ht="15" hidden="false" customHeight="true" outlineLevel="0" collapsed="false">
      <c r="A50" s="7" t="s">
        <v>392</v>
      </c>
      <c r="B50" s="53" t="s">
        <v>393</v>
      </c>
      <c r="C50" s="54" t="s">
        <v>394</v>
      </c>
      <c r="D50" s="54" t="s">
        <v>395</v>
      </c>
    </row>
    <row r="51" customFormat="false" ht="15" hidden="false" customHeight="true" outlineLevel="0" collapsed="false">
      <c r="A51" s="34" t="s">
        <v>396</v>
      </c>
      <c r="B51" s="59" t="s">
        <v>397</v>
      </c>
      <c r="C51" s="54" t="s">
        <v>398</v>
      </c>
      <c r="D51" s="54" t="s">
        <v>399</v>
      </c>
    </row>
    <row r="52" customFormat="false" ht="15" hidden="false" customHeight="true" outlineLevel="0" collapsed="false">
      <c r="A52" s="34" t="s">
        <v>400</v>
      </c>
      <c r="B52" s="55" t="s">
        <v>165</v>
      </c>
      <c r="C52" s="15"/>
      <c r="D52" s="54" t="s">
        <v>401</v>
      </c>
    </row>
  </sheetData>
  <mergeCells count="8">
    <mergeCell ref="A1:D1"/>
    <mergeCell ref="A2:D2"/>
    <mergeCell ref="A5:D5"/>
    <mergeCell ref="A11:D11"/>
    <mergeCell ref="A18:D18"/>
    <mergeCell ref="A28:D28"/>
    <mergeCell ref="A37:D37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2026-06-06T21:15:45Z</dcterms:created>
  <dc:creator>openpyxl</dc:creator>
  <dc:description/>
  <dc:language>en-US</dc:language>
  <cp:lastModifiedBy/>
  <dcterms:modified xsi:type="dcterms:W3CDTF">2026-06-06T21:16:54Z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